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prathamkumar/Desktop/Analyzing_airline_delays/"/>
    </mc:Choice>
  </mc:AlternateContent>
  <xr:revisionPtr revIDLastSave="0" documentId="8_{2EFE34FA-E8C9-DD41-B19C-A88664F5653F}" xr6:coauthVersionLast="47" xr6:coauthVersionMax="47" xr10:uidLastSave="{00000000-0000-0000-0000-000000000000}"/>
  <bookViews>
    <workbookView xWindow="0" yWindow="580" windowWidth="25600" windowHeight="16060" activeTab="3" xr2:uid="{6C3F1B59-B980-8844-AFF3-EC0F7FAC23B1}"/>
  </bookViews>
  <sheets>
    <sheet name="KPI_Summary" sheetId="2" r:id="rId1"/>
    <sheet name="Route_Analysis" sheetId="4" r:id="rId2"/>
    <sheet name="Airline_Performance_Analysis" sheetId="3" r:id="rId3"/>
    <sheet name="Airport_Analysis" sheetId="6" r:id="rId4"/>
    <sheet name="Time_Patterns_Analysis" sheetId="8" r:id="rId5"/>
    <sheet name="Delay_Causes_Analysis" sheetId="9" r:id="rId6"/>
  </sheets>
  <definedNames>
    <definedName name="_xlnm._FilterDatabase" localSheetId="2" hidden="1">Airline_Performance_Analysis!$BR$3:$BT$23</definedName>
    <definedName name="_xlnm._FilterDatabase" localSheetId="1" hidden="1">Route_Analysis!$V$3:$AC$3</definedName>
    <definedName name="_xlnm._FilterDatabase" localSheetId="4" hidden="1">Time_Patterns_Analysis!$B$31:$C$55</definedName>
    <definedName name="q1_consistent_routes" localSheetId="1">Route_Analysis!$A$3:$C$9</definedName>
    <definedName name="q10_monthly_rolling_trend" localSheetId="4">Time_Patterns_Analysis!$O$3:$Z$15</definedName>
    <definedName name="q11_delay_cause_totals" localSheetId="5">Delay_Causes_Analysis!$A$3:$L$8</definedName>
    <definedName name="q12_airline_dominant_cause" localSheetId="2">Airline_Performance_Analysis!$AL$3:$AT$23</definedName>
    <definedName name="q12_airline_dominant_cause" localSheetId="5">Delay_Causes_Analysis!$O$3:$W$23</definedName>
    <definedName name="q2_route_symmetry" localSheetId="1">Route_Analysis!$K$3:$Q$23</definedName>
    <definedName name="q3_route_recovery" localSheetId="1">Route_Analysis!$V$3:$AC$23</definedName>
    <definedName name="q4_airline_consistency_1" localSheetId="2">Airline_Performance_Analysis!$A$3:$H$23</definedName>
    <definedName name="q5_airline_mom_trend" localSheetId="2">Airline_Performance_Analysis!$M$3:$T$23</definedName>
    <definedName name="q6_airline_severity" localSheetId="2">Airline_Performance_Analysis!$Y$3:$AG$23</definedName>
    <definedName name="q7_airport_volume_vs_delay" localSheetId="3">Airport_Analysis!$A$3:$H$33</definedName>
    <definedName name="q8_airport_dep_arr_profile" localSheetId="3">Airport_Analysis!$S$3:$AA$166</definedName>
    <definedName name="q9_departure_hour_risk" localSheetId="4">Time_Patterns_Analysis!$A$3:$K$27</definedName>
  </definedNames>
  <calcPr calcId="181029"/>
  <pivotCaches>
    <pivotCache cacheId="4" r:id="rId7"/>
    <pivotCache cacheId="15" r:id="rId8"/>
    <pivotCache cacheId="1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2" l="1"/>
  <c r="AD5" i="9"/>
  <c r="AD6" i="9"/>
  <c r="AK5" i="9"/>
  <c r="AK4" i="9"/>
  <c r="AK3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R28" i="9"/>
  <c r="S28" i="9"/>
  <c r="Q28" i="9"/>
  <c r="P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28" i="9"/>
  <c r="AP7" i="8"/>
  <c r="AP6" i="8"/>
  <c r="AP5" i="8"/>
  <c r="AP4" i="8"/>
  <c r="AO7" i="8"/>
  <c r="AO6" i="8"/>
  <c r="AO5" i="8"/>
  <c r="AO4" i="8"/>
  <c r="AG6" i="8"/>
  <c r="AG5" i="8"/>
  <c r="AG4" i="8"/>
  <c r="AG3" i="8"/>
  <c r="AE18" i="6"/>
  <c r="AE17" i="6"/>
  <c r="AE16" i="6"/>
  <c r="AE15" i="6"/>
  <c r="BC45" i="3"/>
  <c r="BC44" i="3"/>
  <c r="BC43" i="3"/>
  <c r="BC42" i="3"/>
  <c r="BT5" i="3" a="1"/>
  <c r="BT5" i="3" s="1"/>
  <c r="BT6" i="3" a="1"/>
  <c r="BT6" i="3" s="1"/>
  <c r="BT7" i="3" a="1"/>
  <c r="BT7" i="3"/>
  <c r="BT8" i="3" a="1"/>
  <c r="BT8" i="3" s="1"/>
  <c r="BT9" i="3" a="1"/>
  <c r="BT9" i="3" s="1"/>
  <c r="BT10" i="3" a="1"/>
  <c r="BT10" i="3" s="1"/>
  <c r="BT11" i="3" a="1"/>
  <c r="BT11" i="3"/>
  <c r="BT13" i="3" a="1"/>
  <c r="BT13" i="3"/>
  <c r="BT17" i="3" a="1"/>
  <c r="BT17" i="3"/>
  <c r="BT14" i="3" a="1"/>
  <c r="BT14" i="3" s="1"/>
  <c r="BT12" i="3" a="1"/>
  <c r="BT12" i="3"/>
  <c r="BT16" i="3" a="1"/>
  <c r="BT16" i="3"/>
  <c r="BT19" i="3" a="1"/>
  <c r="BT19" i="3" s="1"/>
  <c r="BT15" i="3" a="1"/>
  <c r="BT15" i="3" s="1"/>
  <c r="BT20" i="3" a="1"/>
  <c r="BT20" i="3" s="1"/>
  <c r="BT21" i="3" a="1"/>
  <c r="BT21" i="3"/>
  <c r="BT18" i="3" a="1"/>
  <c r="BT18" i="3"/>
  <c r="BT23" i="3" a="1"/>
  <c r="BT23" i="3" s="1"/>
  <c r="BT22" i="3" a="1"/>
  <c r="BT22" i="3" s="1"/>
  <c r="BT4" i="3" a="1"/>
  <c r="BT4" i="3" s="1"/>
  <c r="BS5" i="3" a="1"/>
  <c r="BS5" i="3" s="1"/>
  <c r="BS6" i="3" a="1"/>
  <c r="BS6" i="3"/>
  <c r="BS7" i="3" a="1"/>
  <c r="BS7" i="3" s="1"/>
  <c r="BS8" i="3" a="1"/>
  <c r="BS8" i="3" s="1"/>
  <c r="BS9" i="3" a="1"/>
  <c r="BS9" i="3" s="1"/>
  <c r="BS10" i="3" a="1"/>
  <c r="BS10" i="3" s="1"/>
  <c r="BS11" i="3" a="1"/>
  <c r="BS11" i="3"/>
  <c r="BS13" i="3" a="1"/>
  <c r="BS13" i="3" s="1"/>
  <c r="BS17" i="3" a="1"/>
  <c r="BS17" i="3" s="1"/>
  <c r="BS14" i="3" a="1"/>
  <c r="BS14" i="3" s="1"/>
  <c r="BS12" i="3" a="1"/>
  <c r="BS12" i="3"/>
  <c r="BS16" i="3" a="1"/>
  <c r="BS16" i="3"/>
  <c r="BS19" i="3" a="1"/>
  <c r="BS19" i="3" s="1"/>
  <c r="BS15" i="3" a="1"/>
  <c r="BS15" i="3" s="1"/>
  <c r="BS20" i="3" a="1"/>
  <c r="BS20" i="3"/>
  <c r="BS21" i="3" a="1"/>
  <c r="BS21" i="3"/>
  <c r="BS18" i="3" a="1"/>
  <c r="BS18" i="3" s="1"/>
  <c r="BS23" i="3" a="1"/>
  <c r="BS23" i="3"/>
  <c r="BS22" i="3" a="1"/>
  <c r="BS22" i="3" s="1"/>
  <c r="BS4" i="3" a="1"/>
  <c r="BS4" i="3" s="1"/>
  <c r="BC4" i="3"/>
  <c r="BC5" i="3" a="1"/>
  <c r="BC5" i="3" s="1"/>
  <c r="BC6" i="3" a="1"/>
  <c r="BC6" i="3" s="1"/>
  <c r="BC7" i="3" a="1"/>
  <c r="BC7" i="3"/>
  <c r="BC8" i="3" a="1"/>
  <c r="BC8" i="3"/>
  <c r="BC9" i="3" a="1"/>
  <c r="BC9" i="3" s="1"/>
  <c r="BC10" i="3" a="1"/>
  <c r="BC10" i="3" s="1"/>
  <c r="BC11" i="3" a="1"/>
  <c r="BC11" i="3"/>
  <c r="BC12" i="3" a="1"/>
  <c r="BC12" i="3"/>
  <c r="BC13" i="3" a="1"/>
  <c r="BC13" i="3" s="1"/>
  <c r="BC14" i="3" a="1"/>
  <c r="BC14" i="3" s="1"/>
  <c r="BC15" i="3" a="1"/>
  <c r="BC15" i="3"/>
  <c r="BC16" i="3" a="1"/>
  <c r="BC16" i="3"/>
  <c r="BC17" i="3" a="1"/>
  <c r="BC17" i="3" s="1"/>
  <c r="BC18" i="3" a="1"/>
  <c r="BC18" i="3" s="1"/>
  <c r="BC19" i="3" a="1"/>
  <c r="BC19" i="3"/>
  <c r="BC20" i="3" a="1"/>
  <c r="BC20" i="3"/>
  <c r="BC21" i="3" a="1"/>
  <c r="BC21" i="3" s="1"/>
  <c r="BC22" i="3" a="1"/>
  <c r="BC22" i="3" s="1"/>
  <c r="BC23" i="3" a="1"/>
  <c r="BC23" i="3"/>
  <c r="BH5" i="3" a="1"/>
  <c r="BH5" i="3" s="1"/>
  <c r="BH6" i="3" a="1"/>
  <c r="BH6" i="3"/>
  <c r="BH7" i="3" a="1"/>
  <c r="BH7" i="3" s="1"/>
  <c r="BH8" i="3" a="1"/>
  <c r="BH8" i="3"/>
  <c r="BH9" i="3" a="1"/>
  <c r="BH9" i="3" s="1"/>
  <c r="BH10" i="3" a="1"/>
  <c r="BH10" i="3" s="1"/>
  <c r="BH11" i="3" a="1"/>
  <c r="BH11" i="3" s="1"/>
  <c r="BH12" i="3" a="1"/>
  <c r="BH12" i="3"/>
  <c r="BH13" i="3" a="1"/>
  <c r="BH13" i="3" s="1"/>
  <c r="BH14" i="3" a="1"/>
  <c r="BH14" i="3"/>
  <c r="BH15" i="3" a="1"/>
  <c r="BH15" i="3" s="1"/>
  <c r="BH16" i="3" a="1"/>
  <c r="BH16" i="3"/>
  <c r="BH17" i="3" a="1"/>
  <c r="BH17" i="3" s="1"/>
  <c r="BH18" i="3" a="1"/>
  <c r="BH18" i="3"/>
  <c r="BH19" i="3" a="1"/>
  <c r="BH19" i="3" s="1"/>
  <c r="BH20" i="3" a="1"/>
  <c r="BH20" i="3"/>
  <c r="BH21" i="3" a="1"/>
  <c r="BH21" i="3" s="1"/>
  <c r="BH22" i="3" a="1"/>
  <c r="BH22" i="3"/>
  <c r="BH23" i="3" a="1"/>
  <c r="BH23" i="3" s="1"/>
  <c r="BH4" i="3" a="1"/>
  <c r="BH4" i="3" s="1"/>
  <c r="BG5" i="3" a="1"/>
  <c r="BG5" i="3"/>
  <c r="BG6" i="3" a="1"/>
  <c r="BG6" i="3" s="1"/>
  <c r="BG7" i="3" a="1"/>
  <c r="BG7" i="3" s="1"/>
  <c r="BG8" i="3" a="1"/>
  <c r="BG8" i="3" s="1"/>
  <c r="BG9" i="3" a="1"/>
  <c r="BG9" i="3"/>
  <c r="BG10" i="3" a="1"/>
  <c r="BG10" i="3" s="1"/>
  <c r="BG11" i="3" a="1"/>
  <c r="BG11" i="3" s="1"/>
  <c r="BG12" i="3" a="1"/>
  <c r="BG12" i="3"/>
  <c r="BG13" i="3" a="1"/>
  <c r="BG13" i="3"/>
  <c r="BG14" i="3" a="1"/>
  <c r="BG14" i="3" s="1"/>
  <c r="BG15" i="3" a="1"/>
  <c r="BG15" i="3" s="1"/>
  <c r="BG16" i="3" a="1"/>
  <c r="BG16" i="3"/>
  <c r="BG17" i="3" a="1"/>
  <c r="BG17" i="3"/>
  <c r="BG18" i="3" a="1"/>
  <c r="BG18" i="3" s="1"/>
  <c r="BG19" i="3" a="1"/>
  <c r="BG19" i="3" s="1"/>
  <c r="BG20" i="3" a="1"/>
  <c r="BG20" i="3"/>
  <c r="BG21" i="3" a="1"/>
  <c r="BG21" i="3"/>
  <c r="BG22" i="3" a="1"/>
  <c r="BG22" i="3" s="1"/>
  <c r="BG23" i="3" a="1"/>
  <c r="BG23" i="3" s="1"/>
  <c r="BG4" i="3" a="1"/>
  <c r="BG4" i="3" s="1"/>
  <c r="BF5" i="3" a="1"/>
  <c r="BF5" i="3" s="1"/>
  <c r="BF6" i="3" a="1"/>
  <c r="BF6" i="3" s="1"/>
  <c r="BF7" i="3" a="1"/>
  <c r="BF7" i="3"/>
  <c r="BF8" i="3" a="1"/>
  <c r="BF8" i="3" s="1"/>
  <c r="BF9" i="3" a="1"/>
  <c r="BF9" i="3" s="1"/>
  <c r="BF10" i="3" a="1"/>
  <c r="BF10" i="3" s="1"/>
  <c r="BF11" i="3" a="1"/>
  <c r="BF11" i="3"/>
  <c r="BF12" i="3" a="1"/>
  <c r="BF12" i="3" s="1"/>
  <c r="BF13" i="3" a="1"/>
  <c r="BF13" i="3" s="1"/>
  <c r="BF14" i="3" a="1"/>
  <c r="BF14" i="3"/>
  <c r="BF15" i="3" a="1"/>
  <c r="BF15" i="3"/>
  <c r="BF16" i="3" a="1"/>
  <c r="BF16" i="3" s="1"/>
  <c r="BF17" i="3" a="1"/>
  <c r="BF17" i="3" s="1"/>
  <c r="BF18" i="3" a="1"/>
  <c r="BF18" i="3"/>
  <c r="BF19" i="3" a="1"/>
  <c r="BF19" i="3"/>
  <c r="BF20" i="3" a="1"/>
  <c r="BF20" i="3" s="1"/>
  <c r="BF21" i="3" a="1"/>
  <c r="BF21" i="3" s="1"/>
  <c r="BF22" i="3" a="1"/>
  <c r="BF22" i="3"/>
  <c r="BF23" i="3" a="1"/>
  <c r="BF23" i="3"/>
  <c r="BF4" i="3" a="1"/>
  <c r="BF4" i="3" s="1"/>
  <c r="BE5" i="3" a="1"/>
  <c r="BE5" i="3" s="1"/>
  <c r="BE6" i="3" a="1"/>
  <c r="BE6" i="3"/>
  <c r="BE7" i="3" a="1"/>
  <c r="BE7" i="3" s="1"/>
  <c r="BE8" i="3" a="1"/>
  <c r="BE8" i="3" s="1"/>
  <c r="BE9" i="3" a="1"/>
  <c r="BE9" i="3" s="1"/>
  <c r="BE10" i="3" a="1"/>
  <c r="BE10" i="3"/>
  <c r="BE11" i="3" a="1"/>
  <c r="BE11" i="3"/>
  <c r="BE12" i="3" a="1"/>
  <c r="BE12" i="3" s="1"/>
  <c r="BE13" i="3" a="1"/>
  <c r="BE13" i="3" s="1"/>
  <c r="BE14" i="3" a="1"/>
  <c r="BE14" i="3"/>
  <c r="BE15" i="3" a="1"/>
  <c r="BE15" i="3"/>
  <c r="BE16" i="3" a="1"/>
  <c r="BE16" i="3" s="1"/>
  <c r="BE17" i="3" a="1"/>
  <c r="BE17" i="3" s="1"/>
  <c r="BE18" i="3" a="1"/>
  <c r="BE18" i="3"/>
  <c r="BE19" i="3" a="1"/>
  <c r="BE19" i="3"/>
  <c r="BE20" i="3" a="1"/>
  <c r="BE20" i="3" s="1"/>
  <c r="BE21" i="3" a="1"/>
  <c r="BE21" i="3" s="1"/>
  <c r="BE22" i="3" a="1"/>
  <c r="BE22" i="3"/>
  <c r="BE23" i="3" a="1"/>
  <c r="BE23" i="3"/>
  <c r="BE4" i="3" a="1"/>
  <c r="BE4" i="3" s="1"/>
  <c r="BD5" i="3" a="1"/>
  <c r="BD5" i="3" s="1"/>
  <c r="BD6" i="3" a="1"/>
  <c r="BD6" i="3" s="1"/>
  <c r="BD7" i="3" a="1"/>
  <c r="BD7" i="3"/>
  <c r="BD8" i="3" a="1"/>
  <c r="BD8" i="3"/>
  <c r="BD9" i="3" a="1"/>
  <c r="BD9" i="3" s="1"/>
  <c r="BD10" i="3" a="1"/>
  <c r="BD10" i="3" s="1"/>
  <c r="BD11" i="3" a="1"/>
  <c r="BD11" i="3"/>
  <c r="BD12" i="3" a="1"/>
  <c r="BD12" i="3"/>
  <c r="BD13" i="3" a="1"/>
  <c r="BD13" i="3" s="1"/>
  <c r="BD14" i="3" a="1"/>
  <c r="BD14" i="3"/>
  <c r="BD15" i="3" a="1"/>
  <c r="BD15" i="3"/>
  <c r="BD16" i="3" a="1"/>
  <c r="BD16" i="3" s="1"/>
  <c r="BD17" i="3" a="1"/>
  <c r="BD17" i="3" s="1"/>
  <c r="BD18" i="3" a="1"/>
  <c r="BD18" i="3"/>
  <c r="BD19" i="3" a="1"/>
  <c r="BD19" i="3"/>
  <c r="BD20" i="3" a="1"/>
  <c r="BD20" i="3"/>
  <c r="BD21" i="3" a="1"/>
  <c r="BD21" i="3" s="1"/>
  <c r="BD22" i="3" a="1"/>
  <c r="BD22" i="3"/>
  <c r="BD23" i="3" a="1"/>
  <c r="BD23" i="3"/>
  <c r="BD4" i="3" a="1"/>
  <c r="BD4" i="3" s="1"/>
  <c r="BB5" i="3" a="1"/>
  <c r="BB5" i="3" s="1"/>
  <c r="BB6" i="3" a="1"/>
  <c r="BB6" i="3"/>
  <c r="BB7" i="3" a="1"/>
  <c r="BB7" i="3" s="1"/>
  <c r="BB8" i="3" a="1"/>
  <c r="BB8" i="3" s="1"/>
  <c r="BB9" i="3" a="1"/>
  <c r="BB9" i="3" s="1"/>
  <c r="BB10" i="3" a="1"/>
  <c r="BB10" i="3" s="1"/>
  <c r="BB11" i="3" a="1"/>
  <c r="BB11" i="3" s="1"/>
  <c r="BB12" i="3" a="1"/>
  <c r="BB12" i="3"/>
  <c r="BB13" i="3" a="1"/>
  <c r="BB13" i="3" s="1"/>
  <c r="BB14" i="3" a="1"/>
  <c r="BB14" i="3"/>
  <c r="BB15" i="3" a="1"/>
  <c r="BB15" i="3" s="1"/>
  <c r="BB16" i="3" a="1"/>
  <c r="BB16" i="3"/>
  <c r="BB17" i="3" a="1"/>
  <c r="BB17" i="3" s="1"/>
  <c r="BB18" i="3" a="1"/>
  <c r="BB18" i="3"/>
  <c r="BB19" i="3" a="1"/>
  <c r="BB19" i="3" s="1"/>
  <c r="BB20" i="3" a="1"/>
  <c r="BB20" i="3"/>
  <c r="BB21" i="3" a="1"/>
  <c r="BB21" i="3" s="1"/>
  <c r="BB22" i="3" a="1"/>
  <c r="BB22" i="3"/>
  <c r="BB23" i="3" a="1"/>
  <c r="BB23" i="3" s="1"/>
  <c r="BB4" i="3" a="1"/>
  <c r="BB4" i="3" s="1"/>
  <c r="BA5" i="3" a="1"/>
  <c r="BA5" i="3" s="1"/>
  <c r="BA6" i="3" a="1"/>
  <c r="BA6" i="3" s="1"/>
  <c r="BA7" i="3" a="1"/>
  <c r="BA7" i="3" s="1"/>
  <c r="BA8" i="3" a="1"/>
  <c r="BA8" i="3"/>
  <c r="BA9" i="3" a="1"/>
  <c r="BA9" i="3" s="1"/>
  <c r="BA10" i="3" a="1"/>
  <c r="BA10" i="3" s="1"/>
  <c r="BA11" i="3" a="1"/>
  <c r="BA11" i="3"/>
  <c r="BA12" i="3" a="1"/>
  <c r="BA12" i="3"/>
  <c r="BA13" i="3" a="1"/>
  <c r="BA13" i="3" s="1"/>
  <c r="BA14" i="3" a="1"/>
  <c r="BA14" i="3" s="1"/>
  <c r="BA15" i="3" a="1"/>
  <c r="BA15" i="3"/>
  <c r="BA16" i="3" a="1"/>
  <c r="BA16" i="3"/>
  <c r="BA17" i="3" a="1"/>
  <c r="BA17" i="3" s="1"/>
  <c r="BA18" i="3" a="1"/>
  <c r="BA18" i="3" s="1"/>
  <c r="BA19" i="3" a="1"/>
  <c r="BA19" i="3"/>
  <c r="BA20" i="3" a="1"/>
  <c r="BA20" i="3" s="1"/>
  <c r="BA21" i="3" a="1"/>
  <c r="BA21" i="3" s="1"/>
  <c r="BA22" i="3" a="1"/>
  <c r="BA22" i="3" s="1"/>
  <c r="BA23" i="3" a="1"/>
  <c r="BA23" i="3"/>
  <c r="BA4" i="3" a="1"/>
  <c r="BA4" i="3" s="1"/>
  <c r="AZ5" i="3" a="1"/>
  <c r="AZ5" i="3" s="1"/>
  <c r="AZ6" i="3" a="1"/>
  <c r="AZ6" i="3" s="1"/>
  <c r="AZ7" i="3" a="1"/>
  <c r="AZ7" i="3"/>
  <c r="AZ8" i="3" a="1"/>
  <c r="AZ8" i="3"/>
  <c r="AZ9" i="3" a="1"/>
  <c r="AZ9" i="3" s="1"/>
  <c r="AZ10" i="3" a="1"/>
  <c r="AZ10" i="3"/>
  <c r="AZ11" i="3" a="1"/>
  <c r="AZ11" i="3"/>
  <c r="AZ12" i="3" a="1"/>
  <c r="AZ12" i="3"/>
  <c r="AZ13" i="3" a="1"/>
  <c r="AZ13" i="3" s="1"/>
  <c r="AZ14" i="3" a="1"/>
  <c r="AZ14" i="3"/>
  <c r="AZ15" i="3" a="1"/>
  <c r="AZ15" i="3"/>
  <c r="AZ16" i="3" a="1"/>
  <c r="AZ16" i="3"/>
  <c r="AZ17" i="3" a="1"/>
  <c r="AZ17" i="3" s="1"/>
  <c r="AZ18" i="3" a="1"/>
  <c r="AZ18" i="3"/>
  <c r="AZ19" i="3" a="1"/>
  <c r="AZ19" i="3"/>
  <c r="AZ20" i="3" a="1"/>
  <c r="AZ20" i="3" s="1"/>
  <c r="AZ21" i="3" a="1"/>
  <c r="AZ21" i="3" s="1"/>
  <c r="AZ22" i="3" a="1"/>
  <c r="AZ22" i="3"/>
  <c r="AZ23" i="3" a="1"/>
  <c r="AZ23" i="3"/>
  <c r="AZ4" i="3" a="1"/>
  <c r="AZ4" i="3" s="1"/>
  <c r="AP21" i="4" a="1"/>
  <c r="AP21" i="4" s="1"/>
  <c r="AP20" i="4" a="1"/>
  <c r="AP20" i="4" s="1"/>
  <c r="AP19" i="4" a="1"/>
  <c r="AP19" i="4" s="1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3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39DAE3-BFCE-7442-BDD7-AA651AB3B97C}" name="q1_consistent_routes" type="6" refreshedVersion="8" background="1" saveData="1">
    <textPr codePage="10000" sourceFile="/Users/prathamkumar/Desktop/Analyzing_airline_delays/q1_consistent_routes.csv" tab="0" comma="1">
      <textFields count="3">
        <textField/>
        <textField/>
        <textField/>
      </textFields>
    </textPr>
  </connection>
  <connection id="2" xr16:uid="{F2CC34A7-F3CC-7B43-840B-156D4DC3AB1F}" name="q10_monthly_rolling_trend" type="6" refreshedVersion="8" background="1" saveData="1">
    <textPr codePage="10000" sourceFile="/Users/prathamkumar/Desktop/Analyzing_airline_delays/q10_monthly_rolling_trend.csv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1E67D095-E79E-214B-97FD-E619E0B7E0F3}" name="q11_delay_cause_totals" type="6" refreshedVersion="8" background="1" saveData="1">
    <textPr codePage="10000" sourceFile="/Users/prathamkumar/Desktop/Analyzing_airline_delays/q11_delay_cause_totals.csv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79992827-B914-E242-8696-3A274BB06C59}" name="q12_airline_dominant_cause" type="6" refreshedVersion="8" background="1" saveData="1">
    <textPr codePage="10000" sourceFile="/Users/prathamkumar/Desktop/Analyzing_airline_delays/q12_airline_dominant_cause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" xr16:uid="{C5FDB482-845B-F343-82A8-40F02C73372D}" name="q12_airline_dominant_cause1" type="6" refreshedVersion="8" background="1" saveData="1">
    <textPr codePage="10000" sourceFile="/Users/prathamkumar/Desktop/Analyzing_airline_delays/q12_airline_dominant_cause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" xr16:uid="{7631FB7E-D7D1-B545-8DD9-7C2965307905}" name="q2_route_symmetry" type="6" refreshedVersion="8" background="1" saveData="1">
    <textPr codePage="10000" sourceFile="/Users/prathamkumar/Desktop/Analyzing_airline_delays/q2_route_symmetry.csv" tab="0" comma="1">
      <textFields count="7">
        <textField/>
        <textField/>
        <textField/>
        <textField/>
        <textField/>
        <textField/>
        <textField/>
      </textFields>
    </textPr>
  </connection>
  <connection id="7" xr16:uid="{79D0D148-3713-FF4C-9DF1-959250B9695B}" name="q3_route_recovery" type="6" refreshedVersion="8" background="1" saveData="1">
    <textPr codePage="10000" sourceFile="/Users/prathamkumar/Desktop/Analyzing_airline_delays/q3_route_recovery.csv" tab="0" comma="1" delimiter="_x0000_">
      <textFields count="7">
        <textField/>
        <textField/>
        <textField/>
        <textField/>
        <textField/>
        <textField/>
        <textField/>
      </textFields>
    </textPr>
  </connection>
  <connection id="8" xr16:uid="{4FF86E8D-FBAC-354C-82AA-7686207BAAC9}" name="q4_airline_consistency" type="6" refreshedVersion="8" background="1" saveData="1">
    <textPr codePage="10000" sourceFile="/Users/prathamkumar/Desktop/Analyzing_airline_delays/q4_airline_consistency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9" xr16:uid="{8A80EDD6-5DE8-B849-8729-F1398704FC3B}" name="q5_airline_mom_trend" type="6" refreshedVersion="8" background="1" saveData="1">
    <textPr codePage="10000" sourceFile="/Users/prathamkumar/Desktop/Analyzing_airline_delays/q5_airline_mom_trend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0" xr16:uid="{51D0178A-5294-F647-8ED1-7E870031C72D}" name="q6_airline_severity" type="6" refreshedVersion="8" background="1" saveData="1">
    <textPr codePage="10000" sourceFile="/Users/prathamkumar/Desktop/Analyzing_airline_delays/q6_airline_severity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" xr16:uid="{0C4A1F06-7CE1-C54B-83D4-418BF75231BD}" name="q7_airport_volume_vs_delay" type="6" refreshedVersion="8" background="1" saveData="1">
    <textPr codePage="10000" sourceFile="/Users/prathamkumar/Desktop/Analyzing_airline_delays/q7_airport_volume_vs_delay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2" xr16:uid="{3D62642A-1734-EF4E-8D46-A9FCC6D51150}" name="q8_airport_dep_arr_profile" type="6" refreshedVersion="8" background="1" saveData="1">
    <textPr codePage="10000" sourceFile="/Users/prathamkumar/Desktop/Analyzing_airline_delays/q8_airport_dep_arr_profile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3" xr16:uid="{0B77F533-CC88-AA4F-9FEB-C852E49F681C}" name="q9_departure_hour_risk" type="6" refreshedVersion="8" background="1" saveData="1">
    <textPr codePage="10000" sourceFile="/Users/prathamkumar/Desktop/Analyzing_airline_delays/q9_departure_hour_risk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<sst xmlns="http://schemas.openxmlformats.org/spreadsheetml/2006/main" count="1626" uniqueCount="551">
  <si>
    <t>FLL-&gt;RIC</t>
  </si>
  <si>
    <t>GSO-&gt;IAD</t>
  </si>
  <si>
    <t>DSM-&gt;DCA</t>
  </si>
  <si>
    <t>EGE-&gt;CVG</t>
  </si>
  <si>
    <t>JAN-&gt;CVG</t>
  </si>
  <si>
    <t>SWF-&gt;MCO</t>
  </si>
  <si>
    <t>Strongly Asymmetric</t>
  </si>
  <si>
    <t>DAB</t>
  </si>
  <si>
    <t>PWM</t>
  </si>
  <si>
    <t>GTF</t>
  </si>
  <si>
    <t>SLC</t>
  </si>
  <si>
    <t>SMF</t>
  </si>
  <si>
    <t>ELP</t>
  </si>
  <si>
    <t>EWR</t>
  </si>
  <si>
    <t>LIH</t>
  </si>
  <si>
    <t>ANC</t>
  </si>
  <si>
    <t>JAN</t>
  </si>
  <si>
    <t>LAS</t>
  </si>
  <si>
    <t>SNA</t>
  </si>
  <si>
    <t>LAX</t>
  </si>
  <si>
    <t>EGE</t>
  </si>
  <si>
    <t>JFK</t>
  </si>
  <si>
    <t>TPA</t>
  </si>
  <si>
    <t>CMH</t>
  </si>
  <si>
    <t>MSP</t>
  </si>
  <si>
    <t xml:space="preserve"> MSP</t>
  </si>
  <si>
    <t xml:space="preserve"> ORD</t>
  </si>
  <si>
    <t xml:space="preserve"> OGG</t>
  </si>
  <si>
    <t xml:space="preserve"> SLC</t>
  </si>
  <si>
    <t xml:space="preserve"> HDN</t>
  </si>
  <si>
    <t xml:space="preserve"> SAN</t>
  </si>
  <si>
    <t xml:space="preserve"> RDU</t>
  </si>
  <si>
    <t xml:space="preserve"> EGE</t>
  </si>
  <si>
    <t xml:space="preserve"> DCA</t>
  </si>
  <si>
    <t>CLT</t>
  </si>
  <si>
    <t>DSM</t>
  </si>
  <si>
    <t>OGG</t>
  </si>
  <si>
    <t>CVG</t>
  </si>
  <si>
    <t>CAK</t>
  </si>
  <si>
    <t>SDF</t>
  </si>
  <si>
    <t>MCO</t>
  </si>
  <si>
    <t>INL</t>
  </si>
  <si>
    <t xml:space="preserve"> DAB</t>
  </si>
  <si>
    <t xml:space="preserve"> PWM</t>
  </si>
  <si>
    <t xml:space="preserve"> MTJ</t>
  </si>
  <si>
    <t xml:space="preserve"> SMF</t>
  </si>
  <si>
    <t xml:space="preserve"> JAN</t>
  </si>
  <si>
    <t xml:space="preserve"> LAS</t>
  </si>
  <si>
    <t xml:space="preserve"> SNA</t>
  </si>
  <si>
    <t xml:space="preserve"> JFK</t>
  </si>
  <si>
    <t xml:space="preserve"> TPA</t>
  </si>
  <si>
    <t>Strong Recovery</t>
  </si>
  <si>
    <t>Best Recovering</t>
  </si>
  <si>
    <t>Slight Recovery</t>
  </si>
  <si>
    <t>Strong Worsening</t>
  </si>
  <si>
    <t>Worst Recovering</t>
  </si>
  <si>
    <t xml:space="preserve">LAS </t>
  </si>
  <si>
    <t xml:space="preserve">SFO </t>
  </si>
  <si>
    <t xml:space="preserve">PHX </t>
  </si>
  <si>
    <t xml:space="preserve">MSY </t>
  </si>
  <si>
    <t xml:space="preserve">SMF </t>
  </si>
  <si>
    <t xml:space="preserve">DTW </t>
  </si>
  <si>
    <t xml:space="preserve">MSP </t>
  </si>
  <si>
    <t xml:space="preserve">BDL </t>
  </si>
  <si>
    <t xml:space="preserve">MKE </t>
  </si>
  <si>
    <t xml:space="preserve">EWR </t>
  </si>
  <si>
    <t xml:space="preserve">PNS </t>
  </si>
  <si>
    <t xml:space="preserve">JFK </t>
  </si>
  <si>
    <t xml:space="preserve">STT </t>
  </si>
  <si>
    <t xml:space="preserve">PHL </t>
  </si>
  <si>
    <t xml:space="preserve"> PHL</t>
  </si>
  <si>
    <t xml:space="preserve"> JAX</t>
  </si>
  <si>
    <t xml:space="preserve"> BWI</t>
  </si>
  <si>
    <t xml:space="preserve"> BHM</t>
  </si>
  <si>
    <t xml:space="preserve"> ORF</t>
  </si>
  <si>
    <t xml:space="preserve"> PVD</t>
  </si>
  <si>
    <t xml:space="preserve"> TUL</t>
  </si>
  <si>
    <t xml:space="preserve"> LGA</t>
  </si>
  <si>
    <t xml:space="preserve"> PBI</t>
  </si>
  <si>
    <t xml:space="preserve"> STL</t>
  </si>
  <si>
    <t>Route</t>
  </si>
  <si>
    <t>Months_in_top10</t>
  </si>
  <si>
    <t>Overall_avg_delay</t>
  </si>
  <si>
    <t>Airport_1 (Origin)</t>
  </si>
  <si>
    <t>Airport_2 (Destination)</t>
  </si>
  <si>
    <t>Delay_1_to_2</t>
  </si>
  <si>
    <t>Delay_2_to_1</t>
  </si>
  <si>
    <t>Delay_difference</t>
  </si>
  <si>
    <t>Symmetry_label</t>
  </si>
  <si>
    <t>Worse_direction</t>
  </si>
  <si>
    <t>Avg_dep_delay</t>
  </si>
  <si>
    <t>Avg_arr_delay</t>
  </si>
  <si>
    <t>Avg_recovery</t>
  </si>
  <si>
    <t>Total_flights</t>
  </si>
  <si>
    <t>Recovery_label</t>
  </si>
  <si>
    <t>Category</t>
  </si>
  <si>
    <t>Q2. Are delays symmetric between route pairs (e.g. JFK→LAX vs LAX→JFK)?</t>
  </si>
  <si>
    <t>Q1. Which routes consistently rank among the worst 10 delayed routes across multiple months?</t>
  </si>
  <si>
    <t>Q3. Which routes recover departure delays most effectively (DepDelay − ArrDelay)?</t>
  </si>
  <si>
    <t>Row Labels</t>
  </si>
  <si>
    <t>Grand Total</t>
  </si>
  <si>
    <t>Average of Overall_avg_delay</t>
  </si>
  <si>
    <t>Routes Consistently in Top 10 Worst Delayed (2008)</t>
  </si>
  <si>
    <t>Key Finding:
All 20 route pairs = Strongly Asymmetric
No symmetric or mildly asymmetric pairs found.
Most extreme: DAB→CLT (92.33 min difference)</t>
  </si>
  <si>
    <t>FLL→RIC</t>
  </si>
  <si>
    <t>GSO→IAD</t>
  </si>
  <si>
    <t>DSM→DCA</t>
  </si>
  <si>
    <t>EGE→CVG</t>
  </si>
  <si>
    <t>JAN→CVG</t>
  </si>
  <si>
    <t>SWF→MCO</t>
  </si>
  <si>
    <t>DAB → CLT</t>
  </si>
  <si>
    <t>PWM → MSP</t>
  </si>
  <si>
    <t>GTF → ORD</t>
  </si>
  <si>
    <t>SLC → DSM</t>
  </si>
  <si>
    <t>MTJ → EWR</t>
  </si>
  <si>
    <t>SMF → OGG</t>
  </si>
  <si>
    <t>ELP → SLC</t>
  </si>
  <si>
    <t>EWR → HDN</t>
  </si>
  <si>
    <t>LIH → SAN</t>
  </si>
  <si>
    <t>ANC → OGG</t>
  </si>
  <si>
    <t>JAN → CVG</t>
  </si>
  <si>
    <t>LAS → CAK</t>
  </si>
  <si>
    <t>SNA → LIH</t>
  </si>
  <si>
    <t>LAX → RDU</t>
  </si>
  <si>
    <t>EGE → CVG</t>
  </si>
  <si>
    <t>SLC → SDF</t>
  </si>
  <si>
    <t>JFK → EGE</t>
  </si>
  <si>
    <t>TPA → MCO</t>
  </si>
  <si>
    <t>CMH → DCA</t>
  </si>
  <si>
    <t>MSP → INL</t>
  </si>
  <si>
    <t>Midly Asymmetric</t>
  </si>
  <si>
    <t>Symmetric</t>
  </si>
  <si>
    <t>Counts</t>
  </si>
  <si>
    <t>SYMMETRY DISTRIBUTION</t>
  </si>
  <si>
    <t>Route_label</t>
  </si>
  <si>
    <t>Avg_Recovery</t>
  </si>
  <si>
    <t xml:space="preserve"> Green = Makes up time (recovery)            Red = Loses more time (worsening)</t>
  </si>
  <si>
    <t xml:space="preserve">Route Recovery Lookup </t>
  </si>
  <si>
    <t>Enter Origin Airport:</t>
  </si>
  <si>
    <t>Enter Destination Airport:</t>
  </si>
  <si>
    <t>Avg Recovery (mins):</t>
  </si>
  <si>
    <t>Recovery Label:</t>
  </si>
  <si>
    <t>Category:</t>
  </si>
  <si>
    <t>STL</t>
  </si>
  <si>
    <t>PHL</t>
  </si>
  <si>
    <t>JAX</t>
  </si>
  <si>
    <t>MSY</t>
  </si>
  <si>
    <t>BHM</t>
  </si>
  <si>
    <t>HA</t>
  </si>
  <si>
    <t>Moderately Consistent</t>
  </si>
  <si>
    <t>Best Overall</t>
  </si>
  <si>
    <t>F9</t>
  </si>
  <si>
    <t>WN</t>
  </si>
  <si>
    <t>Standard</t>
  </si>
  <si>
    <t>AS</t>
  </si>
  <si>
    <t>Inconsistent</t>
  </si>
  <si>
    <t>NW</t>
  </si>
  <si>
    <t>US</t>
  </si>
  <si>
    <t>DL</t>
  </si>
  <si>
    <t>MQ</t>
  </si>
  <si>
    <t>AA</t>
  </si>
  <si>
    <t>CO</t>
  </si>
  <si>
    <t>FL</t>
  </si>
  <si>
    <t>9E</t>
  </si>
  <si>
    <t>OH</t>
  </si>
  <si>
    <t>EV</t>
  </si>
  <si>
    <t>XE</t>
  </si>
  <si>
    <t>UA</t>
  </si>
  <si>
    <t>OO</t>
  </si>
  <si>
    <t>B6</t>
  </si>
  <si>
    <t>YV</t>
  </si>
  <si>
    <t>AQ</t>
  </si>
  <si>
    <t>Q4. Which airline has the most consistent performance (lowest STDDEV of ArrDelay)?</t>
  </si>
  <si>
    <t>Airline</t>
  </si>
  <si>
    <t>Avg_delay</t>
  </si>
  <si>
    <t>Consistency_label</t>
  </si>
  <si>
    <t>Performance_Profile</t>
  </si>
  <si>
    <t>Avg_Delay_Rank</t>
  </si>
  <si>
    <t>Stddev_Delay</t>
  </si>
  <si>
    <t>Total_Flights</t>
  </si>
  <si>
    <t>Consistency_Rank</t>
  </si>
  <si>
    <t>Overall Improving</t>
  </si>
  <si>
    <t>Stable</t>
  </si>
  <si>
    <t>Months_Tracked</t>
  </si>
  <si>
    <t>Best_Single_Month_Improvement</t>
  </si>
  <si>
    <t>Worst_Single_Month_Worsening</t>
  </si>
  <si>
    <t>Months_Improved</t>
  </si>
  <si>
    <t>Months_Worsened</t>
  </si>
  <si>
    <t>Overall_Trend</t>
  </si>
  <si>
    <t>Q5. Which airline improved or worsened the most month-over-month?</t>
  </si>
  <si>
    <t>Q6. Which airline has the highest severe-delay rate (delay &gt; 60 mins)?</t>
  </si>
  <si>
    <t>High Severity</t>
  </si>
  <si>
    <t>Moderate Severity</t>
  </si>
  <si>
    <t>Low Severity</t>
  </si>
  <si>
    <t>Severity_Rank</t>
  </si>
  <si>
    <t>Severe_Delay_Flights</t>
  </si>
  <si>
    <t>Severe_Delay_Rate</t>
  </si>
  <si>
    <t>Mild_Delay_Rate</t>
  </si>
  <si>
    <t>Moderate_Delay_Rate</t>
  </si>
  <si>
    <t>Avg_Delay</t>
  </si>
  <si>
    <t>Severity_Profile</t>
  </si>
  <si>
    <t>Q12. Does the dominant delay cause vary by airline?</t>
  </si>
  <si>
    <t>Carrier Delay</t>
  </si>
  <si>
    <t>Late Aircraft Delay</t>
  </si>
  <si>
    <t>Deviates from Network</t>
  </si>
  <si>
    <t>Highly Concentrated</t>
  </si>
  <si>
    <t>NAS Delay</t>
  </si>
  <si>
    <t>Moderately Concentrated</t>
  </si>
  <si>
    <t>Distributed</t>
  </si>
  <si>
    <t>Follows Network Pattern</t>
  </si>
  <si>
    <t>Dominant_Cause</t>
  </si>
  <si>
    <t>Dominant_Pct</t>
  </si>
  <si>
    <t>Second_Cause</t>
  </si>
  <si>
    <t>Second_Pct</t>
  </si>
  <si>
    <t>Dominant_Flights</t>
  </si>
  <si>
    <t>Dominant_Avg_mins</t>
  </si>
  <si>
    <t>Vs_Network</t>
  </si>
  <si>
    <t>Concentration_Label</t>
  </si>
  <si>
    <t>STDDEV</t>
  </si>
  <si>
    <t>Severe_Rate</t>
  </si>
  <si>
    <t>Severe_Rate %</t>
  </si>
  <si>
    <t>Avg_MoM_Change</t>
  </si>
  <si>
    <t>Avg_MoM_change</t>
  </si>
  <si>
    <t>Master Airline Report Card table:</t>
  </si>
  <si>
    <t>Airline Report Card summary</t>
  </si>
  <si>
    <t>Average of Avg_Delay</t>
  </si>
  <si>
    <t>Average of Severe_Delay_Rate</t>
  </si>
  <si>
    <t>Sum of Total_Flights</t>
  </si>
  <si>
    <t>Airline Performance — Avg Delay vs Severe Delay Rate (2008)</t>
  </si>
  <si>
    <t>Dominant Delay Cause by Airline (2008)</t>
  </si>
  <si>
    <t>Dominant_pct</t>
  </si>
  <si>
    <t>Second_pct</t>
  </si>
  <si>
    <t>Orange = Carrier Delay dominant     Yellow = NAS Delay dominant     Blue = Late Aircraft dominant</t>
  </si>
  <si>
    <r>
      <rPr>
        <b/>
        <i/>
        <sz val="20"/>
        <color theme="1"/>
        <rFont val="Aptos Narrow (Body)"/>
      </rPr>
      <t>Key Findings — Airline Performance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6"/>
        <color theme="3" tint="9.9978637043366805E-2"/>
        <rFont val="Aptos Narrow (Body)"/>
      </rPr>
      <t>Most consistent airline (at scale): WN (Southwest) — STDDEV 29.49, 193,552 flights
Highest severe delay rate: B6 (JetBlue) — 37.64%
Most internally broken: YV (Mesa Air) — 56.53% Carrier Delay dominant
Most cascade-driven: WN (Southwest) — 60.78% Late Aircraft dominant
Only "Overall Improving" airline: AQ (unreliable — 1 month only)
8 of 20 airlines deviate from network norm (Carrier or NAS dominant)</t>
    </r>
  </si>
  <si>
    <t>Airline Quick Lookup</t>
  </si>
  <si>
    <t>Airline Code:</t>
  </si>
  <si>
    <t>Total Flights:</t>
  </si>
  <si>
    <t>Avg Delay (min):</t>
  </si>
  <si>
    <t>Severe Rate %:</t>
  </si>
  <si>
    <t>Dominant Cause:</t>
  </si>
  <si>
    <t>Q7. Do busier airports actually have worse delays? (flight volume vs avg delay)</t>
  </si>
  <si>
    <t>ORD</t>
  </si>
  <si>
    <t>Busy but Punctual</t>
  </si>
  <si>
    <t>ATL</t>
  </si>
  <si>
    <t>DFW</t>
  </si>
  <si>
    <t>DEN</t>
  </si>
  <si>
    <t>SFO</t>
  </si>
  <si>
    <t>PHX</t>
  </si>
  <si>
    <t>IAH</t>
  </si>
  <si>
    <t>DTW</t>
  </si>
  <si>
    <t>LGA</t>
  </si>
  <si>
    <t>Busy &amp; Delayed</t>
  </si>
  <si>
    <t>BOS</t>
  </si>
  <si>
    <t>SEA</t>
  </si>
  <si>
    <t>BWI</t>
  </si>
  <si>
    <t>SAN</t>
  </si>
  <si>
    <t>MDW</t>
  </si>
  <si>
    <t>IAD</t>
  </si>
  <si>
    <t>MIA</t>
  </si>
  <si>
    <t>FLL</t>
  </si>
  <si>
    <t>DCA</t>
  </si>
  <si>
    <t>MEM</t>
  </si>
  <si>
    <t>Q8. Which airports have unusually high departure delays but normal arrival delays?</t>
  </si>
  <si>
    <t>GJT</t>
  </si>
  <si>
    <t>High Dep / Normal Arr : Ground Ops Problem</t>
  </si>
  <si>
    <t>NULL</t>
  </si>
  <si>
    <t>LIT</t>
  </si>
  <si>
    <t>BUR</t>
  </si>
  <si>
    <t>High Both : Systemic Problem</t>
  </si>
  <si>
    <t>DAY</t>
  </si>
  <si>
    <t>EUG</t>
  </si>
  <si>
    <t>EVV</t>
  </si>
  <si>
    <t>FAR</t>
  </si>
  <si>
    <t>FAT</t>
  </si>
  <si>
    <t>FSD</t>
  </si>
  <si>
    <t>FWA</t>
  </si>
  <si>
    <t>GPT</t>
  </si>
  <si>
    <t>GRB</t>
  </si>
  <si>
    <t>GRR</t>
  </si>
  <si>
    <t>GSO</t>
  </si>
  <si>
    <t>GSP</t>
  </si>
  <si>
    <t>ICT</t>
  </si>
  <si>
    <t>ILM</t>
  </si>
  <si>
    <t>JAC</t>
  </si>
  <si>
    <t>LAN</t>
  </si>
  <si>
    <t>LEX</t>
  </si>
  <si>
    <t>LFT</t>
  </si>
  <si>
    <t>LGB</t>
  </si>
  <si>
    <t>MDT</t>
  </si>
  <si>
    <t>MFR</t>
  </si>
  <si>
    <t>MGM</t>
  </si>
  <si>
    <t>MHT</t>
  </si>
  <si>
    <t>PIA</t>
  </si>
  <si>
    <t>MRY</t>
  </si>
  <si>
    <t>MSN</t>
  </si>
  <si>
    <t>MYR</t>
  </si>
  <si>
    <t>OMA</t>
  </si>
  <si>
    <t>ORF</t>
  </si>
  <si>
    <t>PBI</t>
  </si>
  <si>
    <t>PFN</t>
  </si>
  <si>
    <t>PHF</t>
  </si>
  <si>
    <t>ABE</t>
  </si>
  <si>
    <t>PIT</t>
  </si>
  <si>
    <t>PVD</t>
  </si>
  <si>
    <t>RDU</t>
  </si>
  <si>
    <t>RIC</t>
  </si>
  <si>
    <t>ROA</t>
  </si>
  <si>
    <t>ROC</t>
  </si>
  <si>
    <t>RST</t>
  </si>
  <si>
    <t>RSW</t>
  </si>
  <si>
    <t>SAV</t>
  </si>
  <si>
    <t>SBA</t>
  </si>
  <si>
    <t>SBN</t>
  </si>
  <si>
    <t>SBP</t>
  </si>
  <si>
    <t>SGF</t>
  </si>
  <si>
    <t>SJU</t>
  </si>
  <si>
    <t>SRQ</t>
  </si>
  <si>
    <t>SYR</t>
  </si>
  <si>
    <t>TLH</t>
  </si>
  <si>
    <t>TVC</t>
  </si>
  <si>
    <t>TYS</t>
  </si>
  <si>
    <t>XNA</t>
  </si>
  <si>
    <t>ACV</t>
  </si>
  <si>
    <t>ALB</t>
  </si>
  <si>
    <t>ASE</t>
  </si>
  <si>
    <t>ATW</t>
  </si>
  <si>
    <t>AVL</t>
  </si>
  <si>
    <t>AZO</t>
  </si>
  <si>
    <t>BMI</t>
  </si>
  <si>
    <t>BOI</t>
  </si>
  <si>
    <t>BTV</t>
  </si>
  <si>
    <t>BUF</t>
  </si>
  <si>
    <t>CAE</t>
  </si>
  <si>
    <t>CHA</t>
  </si>
  <si>
    <t>MLI</t>
  </si>
  <si>
    <t>CHS</t>
  </si>
  <si>
    <t>CID</t>
  </si>
  <si>
    <t>CLE</t>
  </si>
  <si>
    <t>BTR</t>
  </si>
  <si>
    <t>Normal Dep / High Arr : Destination Congestion</t>
  </si>
  <si>
    <t>MKE</t>
  </si>
  <si>
    <t>BZN</t>
  </si>
  <si>
    <t>IND</t>
  </si>
  <si>
    <t>FNT</t>
  </si>
  <si>
    <t>MOB</t>
  </si>
  <si>
    <t>VPS</t>
  </si>
  <si>
    <t>HSV</t>
  </si>
  <si>
    <t>PNS</t>
  </si>
  <si>
    <t>BDL</t>
  </si>
  <si>
    <t>SWF</t>
  </si>
  <si>
    <t>SHV</t>
  </si>
  <si>
    <t>HPN</t>
  </si>
  <si>
    <t>GEG</t>
  </si>
  <si>
    <t>Normal Both : Well Performing</t>
  </si>
  <si>
    <t>RNO</t>
  </si>
  <si>
    <t>GRK</t>
  </si>
  <si>
    <t>OAK</t>
  </si>
  <si>
    <t>HNL</t>
  </si>
  <si>
    <t>HOU</t>
  </si>
  <si>
    <t>HRL</t>
  </si>
  <si>
    <t>OKC</t>
  </si>
  <si>
    <t>SJC</t>
  </si>
  <si>
    <t>ISP</t>
  </si>
  <si>
    <t>ITO</t>
  </si>
  <si>
    <t>SAT</t>
  </si>
  <si>
    <t>MAF</t>
  </si>
  <si>
    <t>MCI</t>
  </si>
  <si>
    <t>COS</t>
  </si>
  <si>
    <t>CRP</t>
  </si>
  <si>
    <t>DAL</t>
  </si>
  <si>
    <t>TUL</t>
  </si>
  <si>
    <t>PSP</t>
  </si>
  <si>
    <t>FAI</t>
  </si>
  <si>
    <t>AUS</t>
  </si>
  <si>
    <t>JNU</t>
  </si>
  <si>
    <t>KOA</t>
  </si>
  <si>
    <t>BNA</t>
  </si>
  <si>
    <t>ABQ</t>
  </si>
  <si>
    <t>PDX</t>
  </si>
  <si>
    <t>LBB</t>
  </si>
  <si>
    <t>ONT</t>
  </si>
  <si>
    <t>AMA</t>
  </si>
  <si>
    <t>TUS</t>
  </si>
  <si>
    <t>Q9. Which departure hour has the highest probability (not average) of a major delay?</t>
  </si>
  <si>
    <t>Night / Red Eye</t>
  </si>
  <si>
    <t>High Risk</t>
  </si>
  <si>
    <t>Peak Hours</t>
  </si>
  <si>
    <t>Evening</t>
  </si>
  <si>
    <t>Moderate Risk</t>
  </si>
  <si>
    <t>Afternoon</t>
  </si>
  <si>
    <t>Early Morning</t>
  </si>
  <si>
    <t>Mid Morning</t>
  </si>
  <si>
    <t>Q10. Is there a Rolling increase in delays during certain months? (Rolling Average Trend)</t>
  </si>
  <si>
    <t>Month</t>
  </si>
  <si>
    <t>January</t>
  </si>
  <si>
    <t>Winter</t>
  </si>
  <si>
    <t>Baseline</t>
  </si>
  <si>
    <t>On Trend</t>
  </si>
  <si>
    <t>February</t>
  </si>
  <si>
    <t>Slight Worsening</t>
  </si>
  <si>
    <t>March</t>
  </si>
  <si>
    <t>Spring</t>
  </si>
  <si>
    <t>Slight Improvement</t>
  </si>
  <si>
    <t>April</t>
  </si>
  <si>
    <t>May</t>
  </si>
  <si>
    <t>June</t>
  </si>
  <si>
    <t>Summer</t>
  </si>
  <si>
    <t>July</t>
  </si>
  <si>
    <t>August</t>
  </si>
  <si>
    <t>September</t>
  </si>
  <si>
    <t>Fall</t>
  </si>
  <si>
    <t>October</t>
  </si>
  <si>
    <t>November</t>
  </si>
  <si>
    <t>December</t>
  </si>
  <si>
    <t>Q11. Which delay cause contributes the most total delay minutes (not Average)?</t>
  </si>
  <si>
    <t>Dominant Cause</t>
  </si>
  <si>
    <t>Wide &amp; Severe</t>
  </si>
  <si>
    <t>Major Cause</t>
  </si>
  <si>
    <t>Wide but Mild</t>
  </si>
  <si>
    <t>Narrow &amp; Mild</t>
  </si>
  <si>
    <t>Weather Delay</t>
  </si>
  <si>
    <t>Minor Cause</t>
  </si>
  <si>
    <t>Narrow but Severe</t>
  </si>
  <si>
    <t>Security Delay</t>
  </si>
  <si>
    <t>Volume_Rank</t>
  </si>
  <si>
    <t>Airport</t>
  </si>
  <si>
    <t>STDDEV_Delay</t>
  </si>
  <si>
    <t>Delay_Rank</t>
  </si>
  <si>
    <t>Rank_Difference</t>
  </si>
  <si>
    <t>Airport_Profile</t>
  </si>
  <si>
    <t>Delay_Profile</t>
  </si>
  <si>
    <t>Ground_ops_Rank</t>
  </si>
  <si>
    <t>Arr_vs_Global</t>
  </si>
  <si>
    <t>Dep_vs_Global</t>
  </si>
  <si>
    <t>Avg_Dep_Delay</t>
  </si>
  <si>
    <t>Avg_Arr_Delay</t>
  </si>
  <si>
    <t>Probability_Rank</t>
  </si>
  <si>
    <t>Time_of_Day</t>
  </si>
  <si>
    <t>Major_Delay_Prob</t>
  </si>
  <si>
    <t>Mild_Delay_Prob</t>
  </si>
  <si>
    <t>Moderate_Delay_Prob</t>
  </si>
  <si>
    <t>Rank_Divergence</t>
  </si>
  <si>
    <t>Risk_Label</t>
  </si>
  <si>
    <t>Month_Name</t>
  </si>
  <si>
    <t>Season</t>
  </si>
  <si>
    <t>Rolling_3m_Avg</t>
  </si>
  <si>
    <t>MoM_change</t>
  </si>
  <si>
    <t>MoM_trend</t>
  </si>
  <si>
    <t>Cumulative_Avg</t>
  </si>
  <si>
    <t>Vs_Cumulative_Avg</t>
  </si>
  <si>
    <t>Trend_Position</t>
  </si>
  <si>
    <t>Impact_Rank</t>
  </si>
  <si>
    <t>Delay_Cause</t>
  </si>
  <si>
    <t>Total_Minutes</t>
  </si>
  <si>
    <t>Pct_of_total_Minutes</t>
  </si>
  <si>
    <t>Flights_Affected</t>
  </si>
  <si>
    <t>Pct_Flights_Affected</t>
  </si>
  <si>
    <t>Avg_when_Present</t>
  </si>
  <si>
    <t>Max_Single_Flight</t>
  </si>
  <si>
    <t>Breadth_Rank</t>
  </si>
  <si>
    <t>Impact_Label</t>
  </si>
  <si>
    <t>Spread_Label</t>
  </si>
  <si>
    <t>Second_cause</t>
  </si>
  <si>
    <t>Airport Profile Counts</t>
  </si>
  <si>
    <t>Count of Airport</t>
  </si>
  <si>
    <t>Average of Avg_Dep_Delay</t>
  </si>
  <si>
    <t>Average of Avg_Arr_Delay</t>
  </si>
  <si>
    <t>Airport Profile Breakdown</t>
  </si>
  <si>
    <t>Ground Ops Problem:</t>
  </si>
  <si>
    <t>Well Performing:</t>
  </si>
  <si>
    <t>Busy but Punctual (q7):</t>
  </si>
  <si>
    <t>Busy &amp; Delayed (q7):</t>
  </si>
  <si>
    <t>Top 15 Airports Table</t>
  </si>
  <si>
    <t>Dep_Hour</t>
  </si>
  <si>
    <t>Time Period Comparison</t>
  </si>
  <si>
    <t>Peak Hours Avg Arr Delay:</t>
  </si>
  <si>
    <t>Early Morning Avg Arr Delay:</t>
  </si>
  <si>
    <t>Evening Avg Arr Delay:</t>
  </si>
  <si>
    <t>Mid Morning Avg Arr Delay:</t>
  </si>
  <si>
    <t>Formula aggregates across time groups - same result as GROUP BY in SQL</t>
  </si>
  <si>
    <t>Seasonal Delay Summary</t>
  </si>
  <si>
    <t>Months</t>
  </si>
  <si>
    <t>Verdict</t>
  </si>
  <si>
    <t>Jan, Feb, Dec</t>
  </si>
  <si>
    <t>Mar, Apr, May</t>
  </si>
  <si>
    <t>Jun, Jul, Aug</t>
  </si>
  <si>
    <t>Sep, Oct, Nov</t>
  </si>
  <si>
    <t>Worst</t>
  </si>
  <si>
    <t>Best</t>
  </si>
  <si>
    <t>Bad</t>
  </si>
  <si>
    <t>Good</t>
  </si>
  <si>
    <t>Avg_Delay (min)</t>
  </si>
  <si>
    <t>Remaining_pct</t>
  </si>
  <si>
    <t>Key Insights - Delay Causes</t>
  </si>
  <si>
    <t>Finding</t>
  </si>
  <si>
    <t>Airline-controllable delay %</t>
  </si>
  <si>
    <t>Weather delay %</t>
  </si>
  <si>
    <t>Airlines deviating from network norm</t>
  </si>
  <si>
    <t>Most internally broken airline</t>
  </si>
  <si>
    <t>Most cascade-driven airline</t>
  </si>
  <si>
    <t>Value</t>
  </si>
  <si>
    <t>WN -60.78% Late Aircraft</t>
  </si>
  <si>
    <t>YV -56.53% Carrier Delay</t>
  </si>
  <si>
    <t>8 of 20 (40%)</t>
  </si>
  <si>
    <t>Controllable vs External Delay Minutes</t>
  </si>
  <si>
    <t>Total Controllable Minutes:</t>
  </si>
  <si>
    <t>Total External Minutes:</t>
  </si>
  <si>
    <t>Controllable %:</t>
  </si>
  <si>
    <t>Note: NAS Delay is semi-external - excluded from controllable/external split</t>
  </si>
  <si>
    <t>KPI Summary</t>
  </si>
  <si>
    <t>Metric</t>
  </si>
  <si>
    <t>Source</t>
  </si>
  <si>
    <t>Total Flights Analysed</t>
  </si>
  <si>
    <t>Total Airports</t>
  </si>
  <si>
    <t>Total Airlines</t>
  </si>
  <si>
    <t>Avg Arrival Delay</t>
  </si>
  <si>
    <t>Avg Departure Delay</t>
  </si>
  <si>
    <t>Max Arrival Delay</t>
  </si>
  <si>
    <t>Max Departure Delay</t>
  </si>
  <si>
    <t>Dataset Scope</t>
  </si>
  <si>
    <t>Airline-Controllable Delay %</t>
  </si>
  <si>
    <t>Best Month to Fly</t>
  </si>
  <si>
    <t>Worst Month to Fly</t>
  </si>
  <si>
    <t>Safest Departure Hour</t>
  </si>
  <si>
    <t>Riskiest Departure Hour</t>
  </si>
  <si>
    <t>Most Consistent Airline</t>
  </si>
  <si>
    <t>Most Problematic Airport</t>
  </si>
  <si>
    <t>Most Internally Broken Airline</t>
  </si>
  <si>
    <t>50.44 mins</t>
  </si>
  <si>
    <t>47.34 mins</t>
  </si>
  <si>
    <t>158 mins</t>
  </si>
  <si>
    <t>151 mins</t>
  </si>
  <si>
    <t>ArrDelay ≥ 15 mins only</t>
  </si>
  <si>
    <t>Data Period</t>
  </si>
  <si>
    <t>October (45.60 mins avg)</t>
  </si>
  <si>
    <t>December (52.92 mins avg)</t>
  </si>
  <si>
    <t>8–9 AM (~25.5% major delay prob)</t>
  </si>
  <si>
    <t>5 PM (33.57% major delay prob)</t>
  </si>
  <si>
    <t>JFK  -  only Busy &amp; Delayed in Top 15</t>
  </si>
  <si>
    <t>YV/Mesa Air  -  56.53% Carrier Delay</t>
  </si>
  <si>
    <t>Manual</t>
  </si>
  <si>
    <t>WN/Southwest -  STDDEV 29.49, 193,552 flights</t>
  </si>
  <si>
    <t>Airport Analysis</t>
  </si>
  <si>
    <t>Q8 data - Airport Analysis</t>
  </si>
  <si>
    <t>Q12 data - Delay Cause Analysis</t>
  </si>
  <si>
    <t>Q7 data - Airport Analysis</t>
  </si>
  <si>
    <t>Q11 - Delay Cause Analysis</t>
  </si>
  <si>
    <t>Q10 - Time Patterns Analysis</t>
  </si>
  <si>
    <t>Q9 - Time Pattern Analysis</t>
  </si>
  <si>
    <t>Route Analysis</t>
  </si>
  <si>
    <t>Delay Cause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</si>
</sst>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 (Body)"/>
    </font>
    <font>
      <b/>
      <i/>
      <sz val="18"/>
      <color theme="1"/>
      <name val="Aptos Narrow (Body)"/>
    </font>
    <font>
      <b/>
      <i/>
      <sz val="16"/>
      <color theme="1"/>
      <name val="Aptos Narrow (Body)"/>
    </font>
    <font>
      <b/>
      <i/>
      <sz val="14"/>
      <color theme="1"/>
      <name val="Aptos Narrow (Body)"/>
    </font>
    <font>
      <sz val="10"/>
      <color theme="1"/>
      <name val="Arial Unicode MS"/>
      <family val="2"/>
    </font>
    <font>
      <b/>
      <i/>
      <sz val="12"/>
      <color theme="1"/>
      <name val="Aptos Narrow"/>
      <scheme val="minor"/>
    </font>
    <font>
      <b/>
      <i/>
      <sz val="14"/>
      <color theme="1"/>
      <name val="Aptos Narrow"/>
      <scheme val="minor"/>
    </font>
    <font>
      <b/>
      <i/>
      <sz val="16"/>
      <color theme="1"/>
      <name val="Aptos Narrow"/>
      <scheme val="minor"/>
    </font>
    <font>
      <i/>
      <sz val="12"/>
      <color theme="1"/>
      <name val="Aptos Narrow"/>
      <family val="2"/>
      <scheme val="minor"/>
    </font>
    <font>
      <b/>
      <i/>
      <sz val="10"/>
      <color theme="1"/>
      <name val="Aptos Narrow"/>
      <scheme val="minor"/>
    </font>
    <font>
      <b/>
      <i/>
      <sz val="12"/>
      <color theme="1"/>
      <name val="Aptos Narrow (Body)"/>
    </font>
    <font>
      <b/>
      <i/>
      <sz val="20"/>
      <color theme="1"/>
      <name val="Aptos Narrow (Body)"/>
    </font>
    <font>
      <b/>
      <sz val="16"/>
      <color theme="3" tint="9.9978637043366805E-2"/>
      <name val="Aptos Narrow (Body)"/>
    </font>
    <font>
      <b/>
      <i/>
      <sz val="18"/>
      <color theme="1"/>
      <name val="Aptos Narrow"/>
      <scheme val="minor"/>
    </font>
    <font>
      <b/>
      <sz val="14"/>
      <color theme="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5" fillId="0" borderId="1" xfId="0" applyFont="1" applyBorder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9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8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1" xfId="0" applyBorder="1" applyAlignment="1"/>
    <xf numFmtId="10" fontId="0" fillId="0" borderId="0" xfId="0" applyNumberFormat="1" applyAlignment="1">
      <alignment horizontal="center"/>
    </xf>
    <xf numFmtId="0" fontId="11" fillId="0" borderId="0" xfId="0" applyFont="1" applyAlignment="1"/>
    <xf numFmtId="0" fontId="11" fillId="0" borderId="1" xfId="0" applyFont="1" applyBorder="1" applyAlignment="1"/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vertical="top"/>
    </xf>
    <xf numFmtId="0" fontId="15" fillId="0" borderId="0" xfId="0" applyFont="1" applyAlignment="1">
      <alignment horizontal="left" vertical="top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10" fillId="0" borderId="0" xfId="0" applyFont="1" applyAlignment="1"/>
    <xf numFmtId="0" fontId="11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2" fontId="0" fillId="0" borderId="0" xfId="0" applyNumberFormat="1"/>
    <xf numFmtId="0" fontId="11" fillId="4" borderId="0" xfId="0" applyFont="1" applyFill="1" applyAlignment="1">
      <alignment horizontal="left"/>
    </xf>
    <xf numFmtId="0" fontId="0" fillId="2" borderId="0" xfId="0" applyFill="1"/>
    <xf numFmtId="0" fontId="11" fillId="0" borderId="0" xfId="0" applyFont="1" applyFill="1" applyAlignment="1"/>
    <xf numFmtId="0" fontId="11" fillId="0" borderId="1" xfId="0" applyFont="1" applyFill="1" applyBorder="1" applyAlignment="1"/>
    <xf numFmtId="0" fontId="11" fillId="0" borderId="0" xfId="0" applyFont="1" applyAlignment="1">
      <alignment vertical="top"/>
    </xf>
    <xf numFmtId="0" fontId="10" fillId="6" borderId="0" xfId="0" applyFont="1" applyFill="1" applyAlignment="1">
      <alignment horizontal="left" vertical="top"/>
    </xf>
    <xf numFmtId="0" fontId="3" fillId="7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6" borderId="0" xfId="0" applyFont="1" applyFill="1" applyAlignment="1">
      <alignment horizontal="center"/>
    </xf>
    <xf numFmtId="0" fontId="0" fillId="6" borderId="0" xfId="0" applyFill="1"/>
    <xf numFmtId="0" fontId="10" fillId="4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9" fontId="0" fillId="2" borderId="0" xfId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18" fillId="4" borderId="0" xfId="0" applyFont="1" applyFill="1" applyAlignment="1">
      <alignment horizontal="left"/>
    </xf>
    <xf numFmtId="0" fontId="0" fillId="10" borderId="0" xfId="0" applyFill="1" applyAlignment="1">
      <alignment horizontal="center"/>
    </xf>
    <xf numFmtId="10" fontId="0" fillId="10" borderId="0" xfId="0" applyNumberFormat="1" applyFill="1" applyAlignment="1">
      <alignment horizontal="center"/>
    </xf>
    <xf numFmtId="0" fontId="19" fillId="11" borderId="0" xfId="0" applyFont="1" applyFill="1" applyAlignment="1">
      <alignment horizontal="center"/>
    </xf>
    <xf numFmtId="0" fontId="2" fillId="12" borderId="0" xfId="0" applyFont="1" applyFill="1" applyAlignment="1">
      <alignment horizontal="left"/>
    </xf>
    <xf numFmtId="0" fontId="0" fillId="12" borderId="0" xfId="0" applyFill="1" applyAlignment="1">
      <alignment horizontal="center"/>
    </xf>
    <xf numFmtId="0" fontId="2" fillId="12" borderId="0" xfId="0" applyFont="1" applyFill="1"/>
    <xf numFmtId="0" fontId="0" fillId="12" borderId="0" xfId="0" applyNumberFormat="1" applyFill="1" applyAlignment="1">
      <alignment horizontal="center"/>
    </xf>
  </cellXfs>
  <cellStyles count="2">
    <cellStyle name="Normal" xfId="0" builtinId="0"/>
    <cellStyle name="Per cent" xfId="1" builtinId="5"/>
  </cellStyles>
  <dxfs count="4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theme="2" tint="-9.9948118533890809E-2"/>
        </patternFill>
      </fill>
    </dxf>
    <dxf>
      <fill>
        <patternFill>
          <bgColor rgb="FFFFC7CE"/>
        </patternFill>
      </fill>
    </dxf>
    <dxf>
      <font>
        <b val="0"/>
        <i val="0"/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[Airline_Delays_Analysis.xlsx]Route_Analysis!PivotTable1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Routes Consistently in Top 10 Worst Delayed (2008)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  <c:pivotFmt>
        <c:idx val="2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  <c:pivotFmt>
        <c:idx val="3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  <c:pivotFmt>
        <c:idx val="4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  <c:pivotFmt>
        <c:idx val="5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  <c:pivotFmt>
        <c:idx val="6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  <c:pivotFmt>
        <c:idx val="7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08136482939633"/>
          <c:y val="0.20535331709968022"/>
          <c:w val="0.68733048993875767"/>
          <c:h val="0.700542660368288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Route_Analysis!$AI$3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Route_Analysis!$AH$4:$AH$10</c:f>
              <c:strCache>
                <c:ptCount val="6"/>
                <c:pt idx="0">
                  <c:v>SWF-&gt;MCO</c:v>
                </c:pt>
                <c:pt idx="1">
                  <c:v>JAN-&gt;CVG</c:v>
                </c:pt>
                <c:pt idx="2">
                  <c:v>EGE-&gt;CVG</c:v>
                </c:pt>
                <c:pt idx="3">
                  <c:v>DSM-&gt;DCA</c:v>
                </c:pt>
                <c:pt idx="4">
                  <c:v>GSO-&gt;IAD</c:v>
                </c:pt>
                <c:pt idx="5">
                  <c:v>FLL-&gt;RIC</c:v>
                </c:pt>
              </c:strCache>
            </c:strRef>
          </c:cat>
          <c:val>
            <c:numRef>
              <c:f>Route_Analysis!$AI$4:$AI$10</c:f>
              <c:numCache>
                <c:formatCode>General</c:formatCode>
                <c:ptCount val="6"/>
                <c:pt idx="0">
                  <c:v>128.5</c:v>
                </c:pt>
                <c:pt idx="1">
                  <c:v>129</c:v>
                </c:pt>
                <c:pt idx="2">
                  <c:v>130.25</c:v>
                </c:pt>
                <c:pt idx="3">
                  <c:v>131</c:v>
                </c:pt>
                <c:pt idx="4">
                  <c:v>138</c:v>
                </c:pt>
                <c:pt idx="5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C-A143-A323-2CBBE99EF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335312896"/>
        <c:axId val="357274432"/>
      </c:barChart>
      <c:catAx>
        <c:axId val="335312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274432"/>
        <c:crosses val="autoZero"/>
        <c:auto val="1"/>
        <c:lblAlgn val="ctr"/>
        <c:lblOffset val="100"/>
        <c:noMultiLvlLbl val="0"/>
      </c:catAx>
      <c:valAx>
        <c:axId val="357274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1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Route Delay Recovery — Best vs Worst (2008</a:t>
            </a:r>
            <a:r>
              <a:rPr lang="en-IN" sz="1400" b="0" i="0" u="none" strike="noStrike" baseline="0">
                <a:solidFill>
                  <a:schemeClr val="tx1"/>
                </a:solidFill>
              </a:rPr>
              <a:t>)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Route_Analysis!$Z$3</c:f>
              <c:strCache>
                <c:ptCount val="1"/>
                <c:pt idx="0">
                  <c:v>Avg_recovery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470-5040-BE17-D38928C9E965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470-5040-BE17-D38928C9E965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470-5040-BE17-D38928C9E96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470-5040-BE17-D38928C9E965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470-5040-BE17-D38928C9E965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70-5040-BE17-D38928C9E965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470-5040-BE17-D38928C9E965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70-5040-BE17-D38928C9E965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470-5040-BE17-D38928C9E965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70-5040-BE17-D38928C9E965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D470-5040-BE17-D38928C9E965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470-5040-BE17-D38928C9E965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D470-5040-BE17-D38928C9E965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470-5040-BE17-D38928C9E965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470-5040-BE17-D38928C9E96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470-5040-BE17-D38928C9E965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470-5040-BE17-D38928C9E965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470-5040-BE17-D38928C9E96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470-5040-BE17-D38928C9E965}"/>
              </c:ext>
            </c:extLst>
          </c:dPt>
          <c:dPt>
            <c:idx val="1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470-5040-BE17-D38928C9E965}"/>
              </c:ext>
            </c:extLst>
          </c:dPt>
          <c:dLbls>
            <c:dLbl>
              <c:idx val="19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70-5040-BE17-D38928C9E9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Route_Analysis!$AC$30:$AD$49</c:f>
              <c:multiLvlStrCache>
                <c:ptCount val="20"/>
                <c:lvl>
                  <c:pt idx="0">
                    <c:v>16.48</c:v>
                  </c:pt>
                  <c:pt idx="1">
                    <c:v>13.57</c:v>
                  </c:pt>
                  <c:pt idx="2">
                    <c:v>13.14</c:v>
                  </c:pt>
                  <c:pt idx="3">
                    <c:v>11.86</c:v>
                  </c:pt>
                  <c:pt idx="4">
                    <c:v>11.82</c:v>
                  </c:pt>
                  <c:pt idx="5">
                    <c:v>11.48</c:v>
                  </c:pt>
                  <c:pt idx="6">
                    <c:v>10.81</c:v>
                  </c:pt>
                  <c:pt idx="7">
                    <c:v>10.45</c:v>
                  </c:pt>
                  <c:pt idx="8">
                    <c:v>9.99</c:v>
                  </c:pt>
                  <c:pt idx="9">
                    <c:v>9.59</c:v>
                  </c:pt>
                  <c:pt idx="10">
                    <c:v>-14.4</c:v>
                  </c:pt>
                  <c:pt idx="11">
                    <c:v>-14.42</c:v>
                  </c:pt>
                  <c:pt idx="12">
                    <c:v>-14.96</c:v>
                  </c:pt>
                  <c:pt idx="13">
                    <c:v>-15.3</c:v>
                  </c:pt>
                  <c:pt idx="14">
                    <c:v>-15.39</c:v>
                  </c:pt>
                  <c:pt idx="15">
                    <c:v>-15.54</c:v>
                  </c:pt>
                  <c:pt idx="16">
                    <c:v>-16.7</c:v>
                  </c:pt>
                  <c:pt idx="17">
                    <c:v>-16.96</c:v>
                  </c:pt>
                  <c:pt idx="18">
                    <c:v>-20.66</c:v>
                  </c:pt>
                  <c:pt idx="19">
                    <c:v>-22.56</c:v>
                  </c:pt>
                </c:lvl>
                <c:lvl>
                  <c:pt idx="0">
                    <c:v>STL →  PHL</c:v>
                  </c:pt>
                  <c:pt idx="1">
                    <c:v>LAS  →  JAX</c:v>
                  </c:pt>
                  <c:pt idx="2">
                    <c:v>SFO  →  BWI</c:v>
                  </c:pt>
                  <c:pt idx="3">
                    <c:v>LAS  →  BHM</c:v>
                  </c:pt>
                  <c:pt idx="4">
                    <c:v>LAS  →  ORF</c:v>
                  </c:pt>
                  <c:pt idx="5">
                    <c:v>PHX  →  PVD</c:v>
                  </c:pt>
                  <c:pt idx="6">
                    <c:v>MSY  →  BHM</c:v>
                  </c:pt>
                  <c:pt idx="7">
                    <c:v>LAS  →  TPA</c:v>
                  </c:pt>
                  <c:pt idx="8">
                    <c:v>LAS  →  BWI</c:v>
                  </c:pt>
                  <c:pt idx="9">
                    <c:v>SMF  →  TUL</c:v>
                  </c:pt>
                  <c:pt idx="10">
                    <c:v>DTW  →  SAN</c:v>
                  </c:pt>
                  <c:pt idx="11">
                    <c:v>MSP  →  JFK</c:v>
                  </c:pt>
                  <c:pt idx="12">
                    <c:v>BDL  →  PHL</c:v>
                  </c:pt>
                  <c:pt idx="13">
                    <c:v>MKE  →  LGA</c:v>
                  </c:pt>
                  <c:pt idx="14">
                    <c:v>DTW  →  PBI</c:v>
                  </c:pt>
                  <c:pt idx="15">
                    <c:v>EWR  →  SNA</c:v>
                  </c:pt>
                  <c:pt idx="16">
                    <c:v>PNS  →  ORD</c:v>
                  </c:pt>
                  <c:pt idx="17">
                    <c:v>JFK  →  STL</c:v>
                  </c:pt>
                  <c:pt idx="18">
                    <c:v>STT  →  JFK</c:v>
                  </c:pt>
                  <c:pt idx="19">
                    <c:v>PHL  →  SMF</c:v>
                  </c:pt>
                </c:lvl>
              </c:multiLvlStrCache>
            </c:multiLvlStrRef>
          </c:cat>
          <c:val>
            <c:numRef>
              <c:f>Route_Analysis!$Z$4:$Z$23</c:f>
              <c:numCache>
                <c:formatCode>General</c:formatCode>
                <c:ptCount val="20"/>
                <c:pt idx="0">
                  <c:v>16.48</c:v>
                </c:pt>
                <c:pt idx="1">
                  <c:v>13.57</c:v>
                </c:pt>
                <c:pt idx="2">
                  <c:v>13.14</c:v>
                </c:pt>
                <c:pt idx="3">
                  <c:v>11.86</c:v>
                </c:pt>
                <c:pt idx="4">
                  <c:v>11.82</c:v>
                </c:pt>
                <c:pt idx="5">
                  <c:v>11.48</c:v>
                </c:pt>
                <c:pt idx="6">
                  <c:v>10.81</c:v>
                </c:pt>
                <c:pt idx="7">
                  <c:v>10.45</c:v>
                </c:pt>
                <c:pt idx="8">
                  <c:v>9.99</c:v>
                </c:pt>
                <c:pt idx="9">
                  <c:v>9.59</c:v>
                </c:pt>
                <c:pt idx="10">
                  <c:v>-14.4</c:v>
                </c:pt>
                <c:pt idx="11">
                  <c:v>-14.42</c:v>
                </c:pt>
                <c:pt idx="12">
                  <c:v>-14.96</c:v>
                </c:pt>
                <c:pt idx="13">
                  <c:v>-15.3</c:v>
                </c:pt>
                <c:pt idx="14">
                  <c:v>-15.39</c:v>
                </c:pt>
                <c:pt idx="15">
                  <c:v>-15.54</c:v>
                </c:pt>
                <c:pt idx="16">
                  <c:v>-16.7</c:v>
                </c:pt>
                <c:pt idx="17">
                  <c:v>-16.96</c:v>
                </c:pt>
                <c:pt idx="18">
                  <c:v>-20.66</c:v>
                </c:pt>
                <c:pt idx="19">
                  <c:v>-22.56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0-5040-BE17-D38928C9E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3144768"/>
        <c:axId val="383146560"/>
      </c:barChart>
      <c:catAx>
        <c:axId val="383144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146560"/>
        <c:crosses val="autoZero"/>
        <c:auto val="1"/>
        <c:lblAlgn val="ctr"/>
        <c:lblOffset val="100"/>
        <c:noMultiLvlLbl val="1"/>
      </c:catAx>
      <c:valAx>
        <c:axId val="38314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14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Airline Performance — Avg Delay vs Severe Delay Rate (2008)</a:t>
            </a:r>
            <a:endParaRPr lang="en-GB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Airline_Performance_Analysis!$BS$3</c:f>
              <c:strCache>
                <c:ptCount val="1"/>
                <c:pt idx="0">
                  <c:v>Avg_Delay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Airline_Performance_Analysis!$BR$4:$BR$23</c:f>
              <c:strCache>
                <c:ptCount val="20"/>
                <c:pt idx="0">
                  <c:v>AQ</c:v>
                </c:pt>
                <c:pt idx="1">
                  <c:v>HA</c:v>
                </c:pt>
                <c:pt idx="2">
                  <c:v>F9</c:v>
                </c:pt>
                <c:pt idx="3">
                  <c:v>WN</c:v>
                </c:pt>
                <c:pt idx="4">
                  <c:v>AS</c:v>
                </c:pt>
                <c:pt idx="5">
                  <c:v>NW</c:v>
                </c:pt>
                <c:pt idx="6">
                  <c:v>US</c:v>
                </c:pt>
                <c:pt idx="7">
                  <c:v>DL</c:v>
                </c:pt>
                <c:pt idx="8">
                  <c:v>FL</c:v>
                </c:pt>
                <c:pt idx="9">
                  <c:v>MQ</c:v>
                </c:pt>
                <c:pt idx="10">
                  <c:v>CO</c:v>
                </c:pt>
                <c:pt idx="11">
                  <c:v>EV</c:v>
                </c:pt>
                <c:pt idx="12">
                  <c:v>9E</c:v>
                </c:pt>
                <c:pt idx="13">
                  <c:v>AA</c:v>
                </c:pt>
                <c:pt idx="14">
                  <c:v>OO</c:v>
                </c:pt>
                <c:pt idx="15">
                  <c:v>OH</c:v>
                </c:pt>
                <c:pt idx="16">
                  <c:v>XE</c:v>
                </c:pt>
                <c:pt idx="17">
                  <c:v>UA</c:v>
                </c:pt>
                <c:pt idx="18">
                  <c:v>YV</c:v>
                </c:pt>
                <c:pt idx="19">
                  <c:v>B6</c:v>
                </c:pt>
              </c:strCache>
            </c:strRef>
          </c:cat>
          <c:val>
            <c:numRef>
              <c:f>Airline_Performance_Analysis!$BS$4:$BS$23</c:f>
              <c:numCache>
                <c:formatCode>General</c:formatCode>
                <c:ptCount val="20"/>
                <c:pt idx="0">
                  <c:v>37.51</c:v>
                </c:pt>
                <c:pt idx="1">
                  <c:v>38.340000000000003</c:v>
                </c:pt>
                <c:pt idx="2">
                  <c:v>39.85</c:v>
                </c:pt>
                <c:pt idx="3">
                  <c:v>44.66</c:v>
                </c:pt>
                <c:pt idx="4">
                  <c:v>46.28</c:v>
                </c:pt>
                <c:pt idx="5">
                  <c:v>47.85</c:v>
                </c:pt>
                <c:pt idx="6">
                  <c:v>48.21</c:v>
                </c:pt>
                <c:pt idx="7">
                  <c:v>48.21</c:v>
                </c:pt>
                <c:pt idx="8">
                  <c:v>50.08</c:v>
                </c:pt>
                <c:pt idx="9">
                  <c:v>51.55</c:v>
                </c:pt>
                <c:pt idx="10">
                  <c:v>51.77</c:v>
                </c:pt>
                <c:pt idx="11">
                  <c:v>52.14</c:v>
                </c:pt>
                <c:pt idx="12">
                  <c:v>52.48</c:v>
                </c:pt>
                <c:pt idx="13">
                  <c:v>52.68</c:v>
                </c:pt>
                <c:pt idx="14">
                  <c:v>53.15</c:v>
                </c:pt>
                <c:pt idx="15">
                  <c:v>53.27</c:v>
                </c:pt>
                <c:pt idx="16">
                  <c:v>53.49</c:v>
                </c:pt>
                <c:pt idx="17">
                  <c:v>54.32</c:v>
                </c:pt>
                <c:pt idx="18">
                  <c:v>54.33</c:v>
                </c:pt>
                <c:pt idx="19">
                  <c:v>56.85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E-164B-BB88-2C61FBC6A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570983296"/>
        <c:axId val="570988224"/>
      </c:barChart>
      <c:lineChart>
        <c:grouping val="standard"/>
        <c:varyColors val="0"/>
        <c:ser>
          <c:idx val="1"/>
          <c:order val="1"/>
          <c:tx>
            <c:strRef>
              <c:f>Airline_Performance_Analysis!$BT$3</c:f>
              <c:strCache>
                <c:ptCount val="1"/>
                <c:pt idx="0">
                  <c:v>Severe_Delay_Rate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Airline_Performance_Analysis!$BR$4:$BR$23</c:f>
              <c:strCache>
                <c:ptCount val="20"/>
                <c:pt idx="0">
                  <c:v>AQ</c:v>
                </c:pt>
                <c:pt idx="1">
                  <c:v>HA</c:v>
                </c:pt>
                <c:pt idx="2">
                  <c:v>F9</c:v>
                </c:pt>
                <c:pt idx="3">
                  <c:v>WN</c:v>
                </c:pt>
                <c:pt idx="4">
                  <c:v>AS</c:v>
                </c:pt>
                <c:pt idx="5">
                  <c:v>NW</c:v>
                </c:pt>
                <c:pt idx="6">
                  <c:v>US</c:v>
                </c:pt>
                <c:pt idx="7">
                  <c:v>DL</c:v>
                </c:pt>
                <c:pt idx="8">
                  <c:v>FL</c:v>
                </c:pt>
                <c:pt idx="9">
                  <c:v>MQ</c:v>
                </c:pt>
                <c:pt idx="10">
                  <c:v>CO</c:v>
                </c:pt>
                <c:pt idx="11">
                  <c:v>EV</c:v>
                </c:pt>
                <c:pt idx="12">
                  <c:v>9E</c:v>
                </c:pt>
                <c:pt idx="13">
                  <c:v>AA</c:v>
                </c:pt>
                <c:pt idx="14">
                  <c:v>OO</c:v>
                </c:pt>
                <c:pt idx="15">
                  <c:v>OH</c:v>
                </c:pt>
                <c:pt idx="16">
                  <c:v>XE</c:v>
                </c:pt>
                <c:pt idx="17">
                  <c:v>UA</c:v>
                </c:pt>
                <c:pt idx="18">
                  <c:v>YV</c:v>
                </c:pt>
                <c:pt idx="19">
                  <c:v>B6</c:v>
                </c:pt>
              </c:strCache>
            </c:strRef>
          </c:cat>
          <c:val>
            <c:numRef>
              <c:f>Airline_Performance_Analysis!$BT$4:$BT$23</c:f>
              <c:numCache>
                <c:formatCode>General</c:formatCode>
                <c:ptCount val="20"/>
                <c:pt idx="0">
                  <c:v>13.94</c:v>
                </c:pt>
                <c:pt idx="1">
                  <c:v>15.31</c:v>
                </c:pt>
                <c:pt idx="2">
                  <c:v>17.66</c:v>
                </c:pt>
                <c:pt idx="3">
                  <c:v>22.95</c:v>
                </c:pt>
                <c:pt idx="4">
                  <c:v>24.42</c:v>
                </c:pt>
                <c:pt idx="5">
                  <c:v>26.53</c:v>
                </c:pt>
                <c:pt idx="6">
                  <c:v>26.91</c:v>
                </c:pt>
                <c:pt idx="7">
                  <c:v>26.74</c:v>
                </c:pt>
                <c:pt idx="8">
                  <c:v>29.43</c:v>
                </c:pt>
                <c:pt idx="9">
                  <c:v>31.22</c:v>
                </c:pt>
                <c:pt idx="10">
                  <c:v>31.65</c:v>
                </c:pt>
                <c:pt idx="11">
                  <c:v>31.67</c:v>
                </c:pt>
                <c:pt idx="12">
                  <c:v>32.450000000000003</c:v>
                </c:pt>
                <c:pt idx="13">
                  <c:v>32.659999999999997</c:v>
                </c:pt>
                <c:pt idx="14">
                  <c:v>33.630000000000003</c:v>
                </c:pt>
                <c:pt idx="15">
                  <c:v>33.08</c:v>
                </c:pt>
                <c:pt idx="16">
                  <c:v>33.72</c:v>
                </c:pt>
                <c:pt idx="17">
                  <c:v>34.86</c:v>
                </c:pt>
                <c:pt idx="18">
                  <c:v>34.549999999999997</c:v>
                </c:pt>
                <c:pt idx="19">
                  <c:v>37.64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8E-164B-BB88-2C61FBC6A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994944"/>
        <c:axId val="570992704"/>
      </c:lineChart>
      <c:catAx>
        <c:axId val="57098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988224"/>
        <c:auto val="1"/>
        <c:lblAlgn val="ctr"/>
        <c:lblOffset val="100"/>
        <c:noMultiLvlLbl val="0"/>
      </c:catAx>
      <c:valAx>
        <c:axId val="57098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983296"/>
        <c:crossBetween val="between"/>
      </c:valAx>
      <c:valAx>
        <c:axId val="57099270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994944"/>
        <c:crosses val="max"/>
        <c:crossBetween val="between"/>
      </c:valAx>
      <c:catAx>
        <c:axId val="570994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09927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Dominant Delay Cause by Airline (2008)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Airline_Performance_Analysis!$CC$3</c:f>
              <c:strCache>
                <c:ptCount val="1"/>
                <c:pt idx="0">
                  <c:v>Dominant_Pct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3AE-1C49-AC34-BFB1D58DE2D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AE-1C49-AC34-BFB1D58DE2DD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3AE-1C49-AC34-BFB1D58DE2DD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AE-1C49-AC34-BFB1D58DE2DD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3AE-1C49-AC34-BFB1D58DE2DD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AE-1C49-AC34-BFB1D58DE2DD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C3AE-1C49-AC34-BFB1D58DE2DD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3AE-1C49-AC34-BFB1D58DE2D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C3AE-1C49-AC34-BFB1D58DE2DD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3AE-1C49-AC34-BFB1D58DE2D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3AE-1C49-AC34-BFB1D58DE2D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C3AE-1C49-AC34-BFB1D58DE2D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3AE-1C49-AC34-BFB1D58DE2DD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C3AE-1C49-AC34-BFB1D58DE2DD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C3AE-1C49-AC34-BFB1D58DE2DD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3AE-1C49-AC34-BFB1D58DE2DD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C3AE-1C49-AC34-BFB1D58DE2D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3AE-1C49-AC34-BFB1D58DE2DD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C3AE-1C49-AC34-BFB1D58DE2DD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3AE-1C49-AC34-BFB1D58DE2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Airline_Performance_Analysis!$CB$4:$CB$23</c:f>
              <c:strCache>
                <c:ptCount val="20"/>
                <c:pt idx="0">
                  <c:v>YV</c:v>
                </c:pt>
                <c:pt idx="1">
                  <c:v>AQ</c:v>
                </c:pt>
                <c:pt idx="2">
                  <c:v>HA</c:v>
                </c:pt>
                <c:pt idx="3">
                  <c:v>EV</c:v>
                </c:pt>
                <c:pt idx="4">
                  <c:v>OH</c:v>
                </c:pt>
                <c:pt idx="5">
                  <c:v>F9</c:v>
                </c:pt>
                <c:pt idx="6">
                  <c:v>CO</c:v>
                </c:pt>
                <c:pt idx="7">
                  <c:v>NW</c:v>
                </c:pt>
                <c:pt idx="8">
                  <c:v>WN</c:v>
                </c:pt>
                <c:pt idx="9">
                  <c:v>FL</c:v>
                </c:pt>
                <c:pt idx="10">
                  <c:v>UA</c:v>
                </c:pt>
                <c:pt idx="11">
                  <c:v>MQ</c:v>
                </c:pt>
                <c:pt idx="12">
                  <c:v>B6</c:v>
                </c:pt>
                <c:pt idx="13">
                  <c:v>AS</c:v>
                </c:pt>
                <c:pt idx="14">
                  <c:v>XE</c:v>
                </c:pt>
                <c:pt idx="15">
                  <c:v>OO</c:v>
                </c:pt>
                <c:pt idx="16">
                  <c:v>9E</c:v>
                </c:pt>
                <c:pt idx="17">
                  <c:v>US</c:v>
                </c:pt>
                <c:pt idx="18">
                  <c:v>AA</c:v>
                </c:pt>
                <c:pt idx="19">
                  <c:v>DL</c:v>
                </c:pt>
              </c:strCache>
            </c:strRef>
          </c:cat>
          <c:val>
            <c:numRef>
              <c:f>Airline_Performance_Analysis!$CC$4:$CC$23</c:f>
              <c:numCache>
                <c:formatCode>0.00%</c:formatCode>
                <c:ptCount val="20"/>
                <c:pt idx="0">
                  <c:v>0.56530000000000002</c:v>
                </c:pt>
                <c:pt idx="1">
                  <c:v>0.56279999999999997</c:v>
                </c:pt>
                <c:pt idx="2">
                  <c:v>0.53539999999999999</c:v>
                </c:pt>
                <c:pt idx="3">
                  <c:v>0.44040000000000001</c:v>
                </c:pt>
                <c:pt idx="4">
                  <c:v>0.40949999999999998</c:v>
                </c:pt>
                <c:pt idx="5">
                  <c:v>0.40679999999999999</c:v>
                </c:pt>
                <c:pt idx="6">
                  <c:v>0.40139999999999998</c:v>
                </c:pt>
                <c:pt idx="7">
                  <c:v>0.39290000000000003</c:v>
                </c:pt>
                <c:pt idx="8">
                  <c:v>0.60780000000000001</c:v>
                </c:pt>
                <c:pt idx="9">
                  <c:v>0.55559999999999998</c:v>
                </c:pt>
                <c:pt idx="10">
                  <c:v>0.47289999999999999</c:v>
                </c:pt>
                <c:pt idx="11">
                  <c:v>0.4496</c:v>
                </c:pt>
                <c:pt idx="12">
                  <c:v>0.44180000000000003</c:v>
                </c:pt>
                <c:pt idx="13">
                  <c:v>0.433</c:v>
                </c:pt>
                <c:pt idx="14">
                  <c:v>0.41639999999999999</c:v>
                </c:pt>
                <c:pt idx="15">
                  <c:v>0.41310000000000002</c:v>
                </c:pt>
                <c:pt idx="16">
                  <c:v>0.39639999999999997</c:v>
                </c:pt>
                <c:pt idx="17">
                  <c:v>0.39439999999999997</c:v>
                </c:pt>
                <c:pt idx="18">
                  <c:v>0.3871</c:v>
                </c:pt>
                <c:pt idx="19">
                  <c:v>0.3679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E-1C49-AC34-BFB1D58DE2DD}"/>
            </c:ext>
          </c:extLst>
        </c:ser>
        <c:ser>
          <c:idx val="1"/>
          <c:order val="1"/>
          <c:tx>
            <c:strRef>
              <c:f>Airline_Performance_Analysis!$CD$3</c:f>
              <c:strCache>
                <c:ptCount val="1"/>
                <c:pt idx="0">
                  <c:v>Second_Pct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Airline_Performance_Analysis!$CB$4:$CB$23</c:f>
              <c:strCache>
                <c:ptCount val="20"/>
                <c:pt idx="0">
                  <c:v>YV</c:v>
                </c:pt>
                <c:pt idx="1">
                  <c:v>AQ</c:v>
                </c:pt>
                <c:pt idx="2">
                  <c:v>HA</c:v>
                </c:pt>
                <c:pt idx="3">
                  <c:v>EV</c:v>
                </c:pt>
                <c:pt idx="4">
                  <c:v>OH</c:v>
                </c:pt>
                <c:pt idx="5">
                  <c:v>F9</c:v>
                </c:pt>
                <c:pt idx="6">
                  <c:v>CO</c:v>
                </c:pt>
                <c:pt idx="7">
                  <c:v>NW</c:v>
                </c:pt>
                <c:pt idx="8">
                  <c:v>WN</c:v>
                </c:pt>
                <c:pt idx="9">
                  <c:v>FL</c:v>
                </c:pt>
                <c:pt idx="10">
                  <c:v>UA</c:v>
                </c:pt>
                <c:pt idx="11">
                  <c:v>MQ</c:v>
                </c:pt>
                <c:pt idx="12">
                  <c:v>B6</c:v>
                </c:pt>
                <c:pt idx="13">
                  <c:v>AS</c:v>
                </c:pt>
                <c:pt idx="14">
                  <c:v>XE</c:v>
                </c:pt>
                <c:pt idx="15">
                  <c:v>OO</c:v>
                </c:pt>
                <c:pt idx="16">
                  <c:v>9E</c:v>
                </c:pt>
                <c:pt idx="17">
                  <c:v>US</c:v>
                </c:pt>
                <c:pt idx="18">
                  <c:v>AA</c:v>
                </c:pt>
                <c:pt idx="19">
                  <c:v>DL</c:v>
                </c:pt>
              </c:strCache>
            </c:strRef>
          </c:cat>
          <c:val>
            <c:numRef>
              <c:f>Airline_Performance_Analysis!$CD$4:$CD$23</c:f>
              <c:numCache>
                <c:formatCode>0.00%</c:formatCode>
                <c:ptCount val="20"/>
                <c:pt idx="0">
                  <c:v>0.21160000000000001</c:v>
                </c:pt>
                <c:pt idx="1">
                  <c:v>0.36659999999999998</c:v>
                </c:pt>
                <c:pt idx="2">
                  <c:v>0.44450000000000001</c:v>
                </c:pt>
                <c:pt idx="3">
                  <c:v>0.23749999999999999</c:v>
                </c:pt>
                <c:pt idx="4">
                  <c:v>0.28120000000000001</c:v>
                </c:pt>
                <c:pt idx="5">
                  <c:v>0.30819999999999997</c:v>
                </c:pt>
                <c:pt idx="6">
                  <c:v>0.30449999999999999</c:v>
                </c:pt>
                <c:pt idx="7">
                  <c:v>0.27239999999999998</c:v>
                </c:pt>
                <c:pt idx="8">
                  <c:v>0.2296</c:v>
                </c:pt>
                <c:pt idx="9">
                  <c:v>0.27160000000000001</c:v>
                </c:pt>
                <c:pt idx="10">
                  <c:v>0.26350000000000001</c:v>
                </c:pt>
                <c:pt idx="11">
                  <c:v>0.25769999999999998</c:v>
                </c:pt>
                <c:pt idx="12">
                  <c:v>0.33329999999999999</c:v>
                </c:pt>
                <c:pt idx="13">
                  <c:v>0.33489999999999998</c:v>
                </c:pt>
                <c:pt idx="14">
                  <c:v>0.29730000000000001</c:v>
                </c:pt>
                <c:pt idx="15">
                  <c:v>0.3044</c:v>
                </c:pt>
                <c:pt idx="16">
                  <c:v>0.36930000000000002</c:v>
                </c:pt>
                <c:pt idx="17">
                  <c:v>0.30430000000000001</c:v>
                </c:pt>
                <c:pt idx="18">
                  <c:v>0.30599999999999999</c:v>
                </c:pt>
                <c:pt idx="19">
                  <c:v>0.30309999999999998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AE-1C49-AC34-BFB1D58DE2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78304000"/>
        <c:axId val="578578944"/>
      </c:barChart>
      <c:catAx>
        <c:axId val="57830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78944"/>
        <c:crosses val="autoZero"/>
        <c:auto val="1"/>
        <c:lblAlgn val="ctr"/>
        <c:lblOffset val="100"/>
        <c:noMultiLvlLbl val="0"/>
      </c:catAx>
      <c:valAx>
        <c:axId val="5785789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0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15 Busiest Airports — Volume vs Delay Profile (2008)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Airport_Analysis!$C$3</c:f>
              <c:strCache>
                <c:ptCount val="1"/>
                <c:pt idx="0">
                  <c:v>Total_Flights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B343-0F4B-936D-0339F1BC1C71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B343-0F4B-936D-0339F1BC1C71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B343-0F4B-936D-0339F1BC1C71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4-B343-0F4B-936D-0339F1BC1C71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B343-0F4B-936D-0339F1BC1C71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8-B343-0F4B-936D-0339F1BC1C71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6-B343-0F4B-936D-0339F1BC1C71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B-B343-0F4B-936D-0339F1BC1C71}"/>
              </c:ext>
            </c:extLst>
          </c:dPt>
          <c:dPt>
            <c:idx val="8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A-B343-0F4B-936D-0339F1BC1C71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B343-0F4B-936D-0339F1BC1C71}"/>
              </c:ext>
            </c:extLst>
          </c:dPt>
          <c:dPt>
            <c:idx val="10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D-B343-0F4B-936D-0339F1BC1C71}"/>
              </c:ext>
            </c:extLst>
          </c:dPt>
          <c:dPt>
            <c:idx val="11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C-B343-0F4B-936D-0339F1BC1C71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B343-0F4B-936D-0339F1BC1C71}"/>
              </c:ext>
            </c:extLst>
          </c:dPt>
          <c:dPt>
            <c:idx val="13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E-B343-0F4B-936D-0339F1BC1C71}"/>
              </c:ext>
            </c:extLst>
          </c:dPt>
          <c:dPt>
            <c:idx val="14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0-B343-0F4B-936D-0339F1BC1C7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+35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343-0F4B-936D-0339F1BC1C7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+118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343-0F4B-936D-0339F1BC1C7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+120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343-0F4B-936D-0339F1BC1C7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+121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343-0F4B-936D-0339F1BC1C7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+36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343-0F4B-936D-0339F1BC1C7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+130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343-0F4B-936D-0339F1BC1C7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+54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343-0F4B-936D-0339F1BC1C7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+125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B343-0F4B-936D-0339F1BC1C7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+143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B343-0F4B-936D-0339F1BC1C7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+109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343-0F4B-936D-0339F1BC1C7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+90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B343-0F4B-936D-0339F1BC1C7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+38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B343-0F4B-936D-0339F1BC1C7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+6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343-0F4B-936D-0339F1BC1C7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+90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B343-0F4B-936D-0339F1BC1C7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+96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B343-0F4B-936D-0339F1BC1C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Airport_Analysis!$B$4:$B$18</c:f>
              <c:strCache>
                <c:ptCount val="15"/>
                <c:pt idx="0">
                  <c:v>ORD</c:v>
                </c:pt>
                <c:pt idx="1">
                  <c:v>ATL</c:v>
                </c:pt>
                <c:pt idx="2">
                  <c:v>DFW</c:v>
                </c:pt>
                <c:pt idx="3">
                  <c:v>DEN</c:v>
                </c:pt>
                <c:pt idx="4">
                  <c:v>EWR</c:v>
                </c:pt>
                <c:pt idx="5">
                  <c:v>LAX</c:v>
                </c:pt>
                <c:pt idx="6">
                  <c:v>SFO</c:v>
                </c:pt>
                <c:pt idx="7">
                  <c:v>LAS</c:v>
                </c:pt>
                <c:pt idx="8">
                  <c:v>PHX</c:v>
                </c:pt>
                <c:pt idx="9">
                  <c:v>IAH</c:v>
                </c:pt>
                <c:pt idx="10">
                  <c:v>DTW</c:v>
                </c:pt>
                <c:pt idx="11">
                  <c:v>LGA</c:v>
                </c:pt>
                <c:pt idx="12">
                  <c:v>JFK</c:v>
                </c:pt>
                <c:pt idx="13">
                  <c:v>MCO</c:v>
                </c:pt>
                <c:pt idx="14">
                  <c:v>CLT</c:v>
                </c:pt>
              </c:strCache>
            </c:strRef>
          </c:cat>
          <c:val>
            <c:numRef>
              <c:f>Airport_Analysis!$C$4:$C$18</c:f>
              <c:numCache>
                <c:formatCode>General</c:formatCode>
                <c:ptCount val="15"/>
                <c:pt idx="0">
                  <c:v>152328</c:v>
                </c:pt>
                <c:pt idx="1">
                  <c:v>146846</c:v>
                </c:pt>
                <c:pt idx="2">
                  <c:v>101907</c:v>
                </c:pt>
                <c:pt idx="3">
                  <c:v>80328</c:v>
                </c:pt>
                <c:pt idx="4">
                  <c:v>67616</c:v>
                </c:pt>
                <c:pt idx="5">
                  <c:v>65863</c:v>
                </c:pt>
                <c:pt idx="6">
                  <c:v>58532</c:v>
                </c:pt>
                <c:pt idx="7">
                  <c:v>56300</c:v>
                </c:pt>
                <c:pt idx="8">
                  <c:v>55343</c:v>
                </c:pt>
                <c:pt idx="9">
                  <c:v>55037</c:v>
                </c:pt>
                <c:pt idx="10">
                  <c:v>50142</c:v>
                </c:pt>
                <c:pt idx="11">
                  <c:v>46696</c:v>
                </c:pt>
                <c:pt idx="12">
                  <c:v>43069</c:v>
                </c:pt>
                <c:pt idx="13">
                  <c:v>41162</c:v>
                </c:pt>
                <c:pt idx="14">
                  <c:v>38276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3-0F4B-936D-0339F1BC1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619327296"/>
        <c:axId val="619326848"/>
      </c:barChart>
      <c:catAx>
        <c:axId val="619327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326848"/>
        <c:crosses val="autoZero"/>
        <c:auto val="1"/>
        <c:lblAlgn val="ctr"/>
        <c:lblOffset val="100"/>
        <c:noMultiLvlLbl val="0"/>
      </c:catAx>
      <c:valAx>
        <c:axId val="619326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32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Monthly Delay Trend with 3-Month Rolling Average (2008)</a:t>
            </a:r>
            <a:endParaRPr lang="en-GB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Time_Patterns_Analysis!$P$19</c:f>
              <c:strCache>
                <c:ptCount val="1"/>
                <c:pt idx="0">
                  <c:v>Avg_Arr_Delay</c:v>
                </c:pt>
              </c:strCache>
            </c:strRef>
          </c:tx>
          <c:spPr>
            <a:ln w="31750" cap="rnd">
              <a:solidFill>
                <a:schemeClr val="tx2">
                  <a:lumMod val="75000"/>
                  <a:lumOff val="25000"/>
                </a:schemeClr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76-7E4F-AE64-EAF2DAE1F339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76-7E4F-AE64-EAF2DAE1F3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Time_Patterns_Analysis!$O$20:$O$31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Time_Patterns_Analysis!$P$20:$P$31</c:f>
              <c:numCache>
                <c:formatCode>General</c:formatCode>
                <c:ptCount val="12"/>
                <c:pt idx="0">
                  <c:v>50.52</c:v>
                </c:pt>
                <c:pt idx="1">
                  <c:v>51.67</c:v>
                </c:pt>
                <c:pt idx="2">
                  <c:v>49.96</c:v>
                </c:pt>
                <c:pt idx="3">
                  <c:v>48.25</c:v>
                </c:pt>
                <c:pt idx="4">
                  <c:v>47.92</c:v>
                </c:pt>
                <c:pt idx="5">
                  <c:v>52.56</c:v>
                </c:pt>
                <c:pt idx="6">
                  <c:v>51.94</c:v>
                </c:pt>
                <c:pt idx="7">
                  <c:v>50.1</c:v>
                </c:pt>
                <c:pt idx="8">
                  <c:v>48.09</c:v>
                </c:pt>
                <c:pt idx="9">
                  <c:v>45.6</c:v>
                </c:pt>
                <c:pt idx="10">
                  <c:v>50.36</c:v>
                </c:pt>
                <c:pt idx="11">
                  <c:v>52.92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6-7E4F-AE64-EAF2DAE1F339}"/>
            </c:ext>
          </c:extLst>
        </c:ser>
        <c:ser>
          <c:idx val="1"/>
          <c:order val="1"/>
          <c:tx>
            <c:strRef>
              <c:f>Time_Patterns_Analysis!$Q$19</c:f>
              <c:strCache>
                <c:ptCount val="1"/>
                <c:pt idx="0">
                  <c:v>Rolling_3m_Avg</c:v>
                </c:pt>
              </c:strCache>
            </c:strRef>
          </c:tx>
          <c:spPr>
            <a:ln w="19050" cap="rnd">
              <a:solidFill>
                <a:schemeClr val="tx2">
                  <a:lumMod val="25000"/>
                  <a:lumOff val="75000"/>
                </a:schemeClr>
              </a:solidFill>
              <a:prstDash val="dash"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Time_Patterns_Analysis!$O$20:$O$31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Time_Patterns_Analysis!$Q$20:$Q$31</c:f>
              <c:numCache>
                <c:formatCode>General</c:formatCode>
                <c:ptCount val="12"/>
                <c:pt idx="0">
                  <c:v>50.52</c:v>
                </c:pt>
                <c:pt idx="1">
                  <c:v>51.1</c:v>
                </c:pt>
                <c:pt idx="2">
                  <c:v>50.72</c:v>
                </c:pt>
                <c:pt idx="3">
                  <c:v>49.96</c:v>
                </c:pt>
                <c:pt idx="4">
                  <c:v>48.71</c:v>
                </c:pt>
                <c:pt idx="5">
                  <c:v>49.58</c:v>
                </c:pt>
                <c:pt idx="6">
                  <c:v>50.81</c:v>
                </c:pt>
                <c:pt idx="7">
                  <c:v>51.53</c:v>
                </c:pt>
                <c:pt idx="8">
                  <c:v>50.04</c:v>
                </c:pt>
                <c:pt idx="9">
                  <c:v>47.93</c:v>
                </c:pt>
                <c:pt idx="10">
                  <c:v>48.02</c:v>
                </c:pt>
                <c:pt idx="11">
                  <c:v>49.63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76-7E4F-AE64-EAF2DAE1F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429952"/>
        <c:axId val="712433088"/>
      </c:lineChart>
      <c:catAx>
        <c:axId val="7124299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33088"/>
        <c:crosses val="autoZero"/>
        <c:auto val="1"/>
        <c:lblAlgn val="ctr"/>
        <c:lblOffset val="100"/>
        <c:noMultiLvlLbl val="0"/>
      </c:catAx>
      <c:valAx>
        <c:axId val="7124330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2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Probability of Major Delay (&gt;60 min) by Departure Hour (2008)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Time_Patterns_Analysis!$C$31</c:f>
              <c:strCache>
                <c:ptCount val="1"/>
                <c:pt idx="0">
                  <c:v>Major_Delay_Prob</c:v>
                </c:pt>
              </c:strCache>
            </c:strRef>
          </c:tx>
          <c:spPr>
            <a:noFill/>
            <a:ln w="9525" cap="flat" cmpd="sng" algn="ctr">
              <a:solidFill>
                <a:schemeClr val="tx2">
                  <a:lumMod val="25000"/>
                  <a:lumOff val="75000"/>
                </a:schemeClr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4-3723-A94B-B122-A94022AE75D4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5-3723-A94B-B122-A94022AE75D4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6-3723-A94B-B122-A94022AE75D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B-3723-A94B-B122-A94022AE75D4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C-3723-A94B-B122-A94022AE75D4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7-3723-A94B-B122-A94022AE75D4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8-3723-A94B-B122-A94022AE75D4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9-3723-A94B-B122-A94022AE75D4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A-3723-A94B-B122-A94022AE75D4}"/>
              </c:ext>
            </c:extLst>
          </c:dPt>
          <c:dPt>
            <c:idx val="9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B-3723-A94B-B122-A94022AE75D4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C-3723-A94B-B122-A94022AE75D4}"/>
              </c:ext>
            </c:extLst>
          </c:dPt>
          <c:dPt>
            <c:idx val="11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D-3723-A94B-B122-A94022AE75D4}"/>
              </c:ext>
            </c:extLst>
          </c:dPt>
          <c:dPt>
            <c:idx val="12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E-3723-A94B-B122-A94022AE75D4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F-3723-A94B-B122-A94022AE75D4}"/>
              </c:ext>
            </c:extLst>
          </c:dPt>
          <c:dPt>
            <c:idx val="14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0-3723-A94B-B122-A94022AE75D4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D-3723-A94B-B122-A94022AE75D4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E-3723-A94B-B122-A94022AE75D4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F-3723-A94B-B122-A94022AE75D4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0-3723-A94B-B122-A94022AE75D4}"/>
              </c:ext>
            </c:extLst>
          </c:dPt>
          <c:dPt>
            <c:idx val="19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1-3723-A94B-B122-A94022AE75D4}"/>
              </c:ext>
            </c:extLst>
          </c:dPt>
          <c:dPt>
            <c:idx val="20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2-3723-A94B-B122-A94022AE75D4}"/>
              </c:ext>
            </c:extLst>
          </c:dPt>
          <c:dPt>
            <c:idx val="21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3-3723-A94B-B122-A94022AE75D4}"/>
              </c:ext>
            </c:extLst>
          </c:dPt>
          <c:dPt>
            <c:idx val="22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2-3723-A94B-B122-A94022AE75D4}"/>
              </c:ext>
            </c:extLst>
          </c:dPt>
          <c:dPt>
            <c:idx val="23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1-3723-A94B-B122-A94022AE75D4}"/>
              </c:ext>
            </c:extLst>
          </c:dPt>
          <c:cat>
            <c:numRef>
              <c:f>Time_Patterns_Analysis!$B$32:$B$55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Time_Patterns_Analysis!$C$32:$C$55</c:f>
              <c:numCache>
                <c:formatCode>General</c:formatCode>
                <c:ptCount val="24"/>
                <c:pt idx="0">
                  <c:v>22.81</c:v>
                </c:pt>
                <c:pt idx="1">
                  <c:v>23.56</c:v>
                </c:pt>
                <c:pt idx="2">
                  <c:v>23.94</c:v>
                </c:pt>
                <c:pt idx="3">
                  <c:v>36.96</c:v>
                </c:pt>
                <c:pt idx="4">
                  <c:v>32.94</c:v>
                </c:pt>
                <c:pt idx="5">
                  <c:v>27.51</c:v>
                </c:pt>
                <c:pt idx="6">
                  <c:v>27.34</c:v>
                </c:pt>
                <c:pt idx="7">
                  <c:v>27.02</c:v>
                </c:pt>
                <c:pt idx="8">
                  <c:v>25.63</c:v>
                </c:pt>
                <c:pt idx="9">
                  <c:v>25.47</c:v>
                </c:pt>
                <c:pt idx="10">
                  <c:v>26.43</c:v>
                </c:pt>
                <c:pt idx="11">
                  <c:v>26.19</c:v>
                </c:pt>
                <c:pt idx="12">
                  <c:v>27.56</c:v>
                </c:pt>
                <c:pt idx="13">
                  <c:v>28.77</c:v>
                </c:pt>
                <c:pt idx="14">
                  <c:v>29.54</c:v>
                </c:pt>
                <c:pt idx="15">
                  <c:v>30.36</c:v>
                </c:pt>
                <c:pt idx="16">
                  <c:v>31.86</c:v>
                </c:pt>
                <c:pt idx="17">
                  <c:v>33.57</c:v>
                </c:pt>
                <c:pt idx="18">
                  <c:v>33.5</c:v>
                </c:pt>
                <c:pt idx="19">
                  <c:v>33.15</c:v>
                </c:pt>
                <c:pt idx="20">
                  <c:v>32.25</c:v>
                </c:pt>
                <c:pt idx="21">
                  <c:v>29.99</c:v>
                </c:pt>
                <c:pt idx="22">
                  <c:v>29.46</c:v>
                </c:pt>
                <c:pt idx="23">
                  <c:v>27.85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3-A94B-B122-A94022AE7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12033600"/>
        <c:axId val="712359936"/>
      </c:barChart>
      <c:catAx>
        <c:axId val="712033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59936"/>
        <c:crosses val="autoZero"/>
        <c:auto val="1"/>
        <c:lblAlgn val="ctr"/>
        <c:lblOffset val="100"/>
        <c:noMultiLvlLbl val="0"/>
      </c:catAx>
      <c:valAx>
        <c:axId val="712359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03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Share of Total Delay Minutes by Cause (2008)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Delay_Causes_Analysis!$B$12</c:f>
              <c:strCache>
                <c:ptCount val="1"/>
                <c:pt idx="0">
                  <c:v>Pct_of_total_Minutes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F2B-1A49-B4A1-8CDDFCFA1E6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2B-1A49-B4A1-8CDDFCFA1E6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F2B-1A49-B4A1-8CDDFCFA1E6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2B-1A49-B4A1-8CDDFCFA1E65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2B-1A49-B4A1-8CDDFCFA1E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Delay_Causes_Analysis!$A$13:$A$17</c:f>
              <c:strCache>
                <c:ptCount val="5"/>
                <c:pt idx="0">
                  <c:v>Late Aircraft Delay</c:v>
                </c:pt>
                <c:pt idx="1">
                  <c:v>Carrier Delay</c:v>
                </c:pt>
                <c:pt idx="2">
                  <c:v>NAS Delay</c:v>
                </c:pt>
                <c:pt idx="3">
                  <c:v>Weather Delay</c:v>
                </c:pt>
                <c:pt idx="4">
                  <c:v>Security Delay</c:v>
                </c:pt>
              </c:strCache>
            </c:strRef>
          </c:cat>
          <c:val>
            <c:numRef>
              <c:f>Delay_Causes_Analysis!$B$13:$B$17</c:f>
              <c:numCache>
                <c:formatCode>General</c:formatCode>
                <c:ptCount val="5"/>
                <c:pt idx="0">
                  <c:v>40.67</c:v>
                </c:pt>
                <c:pt idx="1">
                  <c:v>29.95</c:v>
                </c:pt>
                <c:pt idx="2">
                  <c:v>24.25</c:v>
                </c:pt>
                <c:pt idx="3">
                  <c:v>4.95</c:v>
                </c:pt>
                <c:pt idx="4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B-1A49-B4A1-8CDDFCFA1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Dominant Delay Cause by Airline (2008)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Delay_Causes_Analysis!$P$27</c:f>
              <c:strCache>
                <c:ptCount val="1"/>
                <c:pt idx="0">
                  <c:v>Dominant_pct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3E-FF42-993C-93E796EC401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33E-FF42-993C-93E796EC4012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33E-FF42-993C-93E796EC4012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33E-FF42-993C-93E796EC4012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33E-FF42-993C-93E796EC4012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3E-FF42-993C-93E796EC4012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33E-FF42-993C-93E796EC4012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33E-FF42-993C-93E796EC4012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133E-FF42-993C-93E796EC4012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33E-FF42-993C-93E796EC4012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33E-FF42-993C-93E796EC4012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33E-FF42-993C-93E796EC4012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33E-FF42-993C-93E796EC4012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33E-FF42-993C-93E796EC4012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33E-FF42-993C-93E796EC4012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33E-FF42-993C-93E796EC4012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33E-FF42-993C-93E796EC4012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33E-FF42-993C-93E796EC4012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33E-FF42-993C-93E796EC4012}"/>
              </c:ext>
            </c:extLst>
          </c:dPt>
          <c:dPt>
            <c:idx val="1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33E-FF42-993C-93E796EC40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Delay_Causes_Analysis!$O$28:$O$47</c:f>
              <c:strCache>
                <c:ptCount val="20"/>
                <c:pt idx="0">
                  <c:v>YV</c:v>
                </c:pt>
                <c:pt idx="1">
                  <c:v>AQ</c:v>
                </c:pt>
                <c:pt idx="2">
                  <c:v>HA</c:v>
                </c:pt>
                <c:pt idx="3">
                  <c:v>EV</c:v>
                </c:pt>
                <c:pt idx="4">
                  <c:v>OH</c:v>
                </c:pt>
                <c:pt idx="5">
                  <c:v>F9</c:v>
                </c:pt>
                <c:pt idx="6">
                  <c:v>CO</c:v>
                </c:pt>
                <c:pt idx="7">
                  <c:v>NW</c:v>
                </c:pt>
                <c:pt idx="8">
                  <c:v>WN</c:v>
                </c:pt>
                <c:pt idx="9">
                  <c:v>FL</c:v>
                </c:pt>
                <c:pt idx="10">
                  <c:v>UA</c:v>
                </c:pt>
                <c:pt idx="11">
                  <c:v>MQ</c:v>
                </c:pt>
                <c:pt idx="12">
                  <c:v>B6</c:v>
                </c:pt>
                <c:pt idx="13">
                  <c:v>AS</c:v>
                </c:pt>
                <c:pt idx="14">
                  <c:v>XE</c:v>
                </c:pt>
                <c:pt idx="15">
                  <c:v>OO</c:v>
                </c:pt>
                <c:pt idx="16">
                  <c:v>9E</c:v>
                </c:pt>
                <c:pt idx="17">
                  <c:v>US</c:v>
                </c:pt>
                <c:pt idx="18">
                  <c:v>AA</c:v>
                </c:pt>
                <c:pt idx="19">
                  <c:v>DL</c:v>
                </c:pt>
              </c:strCache>
            </c:strRef>
          </c:cat>
          <c:val>
            <c:numRef>
              <c:f>Delay_Causes_Analysis!$P$28:$P$47</c:f>
              <c:numCache>
                <c:formatCode>0.00%</c:formatCode>
                <c:ptCount val="20"/>
                <c:pt idx="0">
                  <c:v>0.56530000000000002</c:v>
                </c:pt>
                <c:pt idx="1">
                  <c:v>0.56279999999999997</c:v>
                </c:pt>
                <c:pt idx="2">
                  <c:v>0.53539999999999999</c:v>
                </c:pt>
                <c:pt idx="3">
                  <c:v>0.44040000000000001</c:v>
                </c:pt>
                <c:pt idx="4">
                  <c:v>0.40949999999999998</c:v>
                </c:pt>
                <c:pt idx="5">
                  <c:v>0.40679999999999999</c:v>
                </c:pt>
                <c:pt idx="6">
                  <c:v>0.40139999999999998</c:v>
                </c:pt>
                <c:pt idx="7">
                  <c:v>0.39290000000000003</c:v>
                </c:pt>
                <c:pt idx="8">
                  <c:v>0.60780000000000001</c:v>
                </c:pt>
                <c:pt idx="9">
                  <c:v>0.55559999999999998</c:v>
                </c:pt>
                <c:pt idx="10">
                  <c:v>0.47289999999999999</c:v>
                </c:pt>
                <c:pt idx="11">
                  <c:v>0.4496</c:v>
                </c:pt>
                <c:pt idx="12">
                  <c:v>0.44180000000000003</c:v>
                </c:pt>
                <c:pt idx="13">
                  <c:v>0.433</c:v>
                </c:pt>
                <c:pt idx="14">
                  <c:v>0.41639999999999999</c:v>
                </c:pt>
                <c:pt idx="15">
                  <c:v>0.41310000000000002</c:v>
                </c:pt>
                <c:pt idx="16">
                  <c:v>0.39639999999999997</c:v>
                </c:pt>
                <c:pt idx="17">
                  <c:v>0.39439999999999997</c:v>
                </c:pt>
                <c:pt idx="18">
                  <c:v>0.3871</c:v>
                </c:pt>
                <c:pt idx="19">
                  <c:v>0.3679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E-FF42-993C-93E796EC4012}"/>
            </c:ext>
          </c:extLst>
        </c:ser>
        <c:ser>
          <c:idx val="1"/>
          <c:order val="1"/>
          <c:tx>
            <c:strRef>
              <c:f>Delay_Causes_Analysis!$Q$27</c:f>
              <c:strCache>
                <c:ptCount val="1"/>
                <c:pt idx="0">
                  <c:v>Second_pct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Delay_Causes_Analysis!$O$28:$O$47</c:f>
              <c:strCache>
                <c:ptCount val="20"/>
                <c:pt idx="0">
                  <c:v>YV</c:v>
                </c:pt>
                <c:pt idx="1">
                  <c:v>AQ</c:v>
                </c:pt>
                <c:pt idx="2">
                  <c:v>HA</c:v>
                </c:pt>
                <c:pt idx="3">
                  <c:v>EV</c:v>
                </c:pt>
                <c:pt idx="4">
                  <c:v>OH</c:v>
                </c:pt>
                <c:pt idx="5">
                  <c:v>F9</c:v>
                </c:pt>
                <c:pt idx="6">
                  <c:v>CO</c:v>
                </c:pt>
                <c:pt idx="7">
                  <c:v>NW</c:v>
                </c:pt>
                <c:pt idx="8">
                  <c:v>WN</c:v>
                </c:pt>
                <c:pt idx="9">
                  <c:v>FL</c:v>
                </c:pt>
                <c:pt idx="10">
                  <c:v>UA</c:v>
                </c:pt>
                <c:pt idx="11">
                  <c:v>MQ</c:v>
                </c:pt>
                <c:pt idx="12">
                  <c:v>B6</c:v>
                </c:pt>
                <c:pt idx="13">
                  <c:v>AS</c:v>
                </c:pt>
                <c:pt idx="14">
                  <c:v>XE</c:v>
                </c:pt>
                <c:pt idx="15">
                  <c:v>OO</c:v>
                </c:pt>
                <c:pt idx="16">
                  <c:v>9E</c:v>
                </c:pt>
                <c:pt idx="17">
                  <c:v>US</c:v>
                </c:pt>
                <c:pt idx="18">
                  <c:v>AA</c:v>
                </c:pt>
                <c:pt idx="19">
                  <c:v>DL</c:v>
                </c:pt>
              </c:strCache>
            </c:strRef>
          </c:cat>
          <c:val>
            <c:numRef>
              <c:f>Delay_Causes_Analysis!$Q$28:$Q$47</c:f>
              <c:numCache>
                <c:formatCode>0.00%</c:formatCode>
                <c:ptCount val="20"/>
                <c:pt idx="0">
                  <c:v>0.21160000000000001</c:v>
                </c:pt>
                <c:pt idx="1">
                  <c:v>0.36659999999999998</c:v>
                </c:pt>
                <c:pt idx="2">
                  <c:v>0.44450000000000001</c:v>
                </c:pt>
                <c:pt idx="3">
                  <c:v>0.23749999999999999</c:v>
                </c:pt>
                <c:pt idx="4">
                  <c:v>0.28120000000000001</c:v>
                </c:pt>
                <c:pt idx="5">
                  <c:v>0.30819999999999997</c:v>
                </c:pt>
                <c:pt idx="6">
                  <c:v>0.30449999999999999</c:v>
                </c:pt>
                <c:pt idx="7">
                  <c:v>0.27239999999999998</c:v>
                </c:pt>
                <c:pt idx="8">
                  <c:v>0.2296</c:v>
                </c:pt>
                <c:pt idx="9">
                  <c:v>0.27160000000000001</c:v>
                </c:pt>
                <c:pt idx="10">
                  <c:v>0.26350000000000001</c:v>
                </c:pt>
                <c:pt idx="11">
                  <c:v>0.25769999999999998</c:v>
                </c:pt>
                <c:pt idx="12">
                  <c:v>0.33329999999999999</c:v>
                </c:pt>
                <c:pt idx="13">
                  <c:v>0.33489999999999998</c:v>
                </c:pt>
                <c:pt idx="14">
                  <c:v>0.29730000000000001</c:v>
                </c:pt>
                <c:pt idx="15">
                  <c:v>0.3044</c:v>
                </c:pt>
                <c:pt idx="16">
                  <c:v>0.36930000000000002</c:v>
                </c:pt>
                <c:pt idx="17">
                  <c:v>0.30430000000000001</c:v>
                </c:pt>
                <c:pt idx="18">
                  <c:v>0.30599999999999999</c:v>
                </c:pt>
                <c:pt idx="19">
                  <c:v>0.30309999999999998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3E-FF42-993C-93E796EC4012}"/>
            </c:ext>
          </c:extLst>
        </c:ser>
        <c:ser>
          <c:idx val="2"/>
          <c:order val="2"/>
          <c:tx>
            <c:strRef>
              <c:f>Delay_Causes_Analysis!$R$27</c:f>
              <c:strCache>
                <c:ptCount val="1"/>
                <c:pt idx="0">
                  <c:v>Remaining_pct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Delay_Causes_Analysis!$O$28:$O$47</c:f>
              <c:strCache>
                <c:ptCount val="20"/>
                <c:pt idx="0">
                  <c:v>YV</c:v>
                </c:pt>
                <c:pt idx="1">
                  <c:v>AQ</c:v>
                </c:pt>
                <c:pt idx="2">
                  <c:v>HA</c:v>
                </c:pt>
                <c:pt idx="3">
                  <c:v>EV</c:v>
                </c:pt>
                <c:pt idx="4">
                  <c:v>OH</c:v>
                </c:pt>
                <c:pt idx="5">
                  <c:v>F9</c:v>
                </c:pt>
                <c:pt idx="6">
                  <c:v>CO</c:v>
                </c:pt>
                <c:pt idx="7">
                  <c:v>NW</c:v>
                </c:pt>
                <c:pt idx="8">
                  <c:v>WN</c:v>
                </c:pt>
                <c:pt idx="9">
                  <c:v>FL</c:v>
                </c:pt>
                <c:pt idx="10">
                  <c:v>UA</c:v>
                </c:pt>
                <c:pt idx="11">
                  <c:v>MQ</c:v>
                </c:pt>
                <c:pt idx="12">
                  <c:v>B6</c:v>
                </c:pt>
                <c:pt idx="13">
                  <c:v>AS</c:v>
                </c:pt>
                <c:pt idx="14">
                  <c:v>XE</c:v>
                </c:pt>
                <c:pt idx="15">
                  <c:v>OO</c:v>
                </c:pt>
                <c:pt idx="16">
                  <c:v>9E</c:v>
                </c:pt>
                <c:pt idx="17">
                  <c:v>US</c:v>
                </c:pt>
                <c:pt idx="18">
                  <c:v>AA</c:v>
                </c:pt>
                <c:pt idx="19">
                  <c:v>DL</c:v>
                </c:pt>
              </c:strCache>
            </c:strRef>
          </c:cat>
          <c:val>
            <c:numRef>
              <c:f>Delay_Causes_Analysis!$R$28:$R$47</c:f>
              <c:numCache>
                <c:formatCode>0.00%</c:formatCode>
                <c:ptCount val="20"/>
                <c:pt idx="0">
                  <c:v>0.22309999999999997</c:v>
                </c:pt>
                <c:pt idx="1">
                  <c:v>7.0600000000000052E-2</c:v>
                </c:pt>
                <c:pt idx="2">
                  <c:v>2.0100000000000007E-2</c:v>
                </c:pt>
                <c:pt idx="3">
                  <c:v>0.3221</c:v>
                </c:pt>
                <c:pt idx="4">
                  <c:v>0.30930000000000002</c:v>
                </c:pt>
                <c:pt idx="5">
                  <c:v>0.28499999999999998</c:v>
                </c:pt>
                <c:pt idx="6">
                  <c:v>0.29410000000000003</c:v>
                </c:pt>
                <c:pt idx="7">
                  <c:v>0.3347</c:v>
                </c:pt>
                <c:pt idx="8">
                  <c:v>0.16259999999999999</c:v>
                </c:pt>
                <c:pt idx="9">
                  <c:v>0.17280000000000001</c:v>
                </c:pt>
                <c:pt idx="10">
                  <c:v>0.2636</c:v>
                </c:pt>
                <c:pt idx="11">
                  <c:v>0.29270000000000002</c:v>
                </c:pt>
                <c:pt idx="12">
                  <c:v>0.22490000000000004</c:v>
                </c:pt>
                <c:pt idx="13">
                  <c:v>0.23209999999999997</c:v>
                </c:pt>
                <c:pt idx="14">
                  <c:v>0.2863</c:v>
                </c:pt>
                <c:pt idx="15">
                  <c:v>0.28249999999999997</c:v>
                </c:pt>
                <c:pt idx="16">
                  <c:v>0.23430000000000001</c:v>
                </c:pt>
                <c:pt idx="17">
                  <c:v>0.30130000000000001</c:v>
                </c:pt>
                <c:pt idx="18">
                  <c:v>0.30690000000000001</c:v>
                </c:pt>
                <c:pt idx="19">
                  <c:v>0.32900000000000001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3E-FF42-993C-93E796EC4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9303296"/>
        <c:axId val="769305088"/>
      </c:barChart>
      <c:catAx>
        <c:axId val="769303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305088"/>
        <c:crosses val="autoZero"/>
        <c:auto val="1"/>
        <c:lblAlgn val="ctr"/>
        <c:lblOffset val="100"/>
        <c:noMultiLvlLbl val="0"/>
      </c:catAx>
      <c:valAx>
        <c:axId val="7693050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30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821267</xdr:colOff>
      <xdr:row>1</xdr:row>
      <xdr:rowOff>152400</xdr:rowOff>
    </xdr:from>
    <xdr:ext cx="5029199" cy="31149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84E4E8-EB74-EA2C-20EB-A95BE076A97C}"/>
            </a:ext>
          </a:extLst>
        </xdr:cNvPr>
        <xdr:cNvSpPr txBox="1"/>
      </xdr:nvSpPr>
      <xdr:spPr>
        <a:xfrm>
          <a:off x="821267" y="457200"/>
          <a:ext cx="5029199" cy="31149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1400" b="1" i="1">
              <a:solidFill>
                <a:schemeClr val="bg1"/>
              </a:solidFill>
            </a:rPr>
            <a:t>US Airline Delay Analysis 2008 — Key Findings</a:t>
          </a:r>
          <a:endParaRPr lang="en-GB" sz="1400" b="1" i="1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397934</xdr:colOff>
      <xdr:row>22</xdr:row>
      <xdr:rowOff>177800</xdr:rowOff>
    </xdr:from>
    <xdr:ext cx="6378669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B53734-BC96-00A4-9E0B-F230F641CB59}"/>
            </a:ext>
          </a:extLst>
        </xdr:cNvPr>
        <xdr:cNvSpPr txBox="1"/>
      </xdr:nvSpPr>
      <xdr:spPr>
        <a:xfrm>
          <a:off x="397934" y="4792133"/>
          <a:ext cx="63786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 i="1">
              <a:solidFill>
                <a:schemeClr val="accent2">
                  <a:lumMod val="75000"/>
                </a:schemeClr>
              </a:solidFill>
            </a:rPr>
            <a:t>Dataset contains only delayed flights (ArrDelay ≥ 15 mins). On-time rate cannot be calculated from this data.</a:t>
          </a:r>
          <a:endParaRPr lang="en-GB" sz="1100" b="1" i="1">
            <a:solidFill>
              <a:schemeClr val="accent2">
                <a:lumMod val="75000"/>
              </a:schemeClr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9122</xdr:colOff>
      <xdr:row>13</xdr:row>
      <xdr:rowOff>193898</xdr:rowOff>
    </xdr:from>
    <xdr:to>
      <xdr:col>36</xdr:col>
      <xdr:colOff>825499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22EF76-5135-AED2-A81D-D0EB9F78B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2296</xdr:colOff>
      <xdr:row>27</xdr:row>
      <xdr:rowOff>16619</xdr:rowOff>
    </xdr:from>
    <xdr:to>
      <xdr:col>27</xdr:col>
      <xdr:colOff>702553</xdr:colOff>
      <xdr:row>54</xdr:row>
      <xdr:rowOff>16934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D7E11E9-A898-E01D-7412-1A6CDF57C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1</xdr:colOff>
      <xdr:row>25</xdr:row>
      <xdr:rowOff>16934</xdr:rowOff>
    </xdr:from>
    <xdr:to>
      <xdr:col>77</xdr:col>
      <xdr:colOff>25400</xdr:colOff>
      <xdr:row>47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AFBAFC-E6E2-C429-2142-25295DE2B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79</xdr:col>
      <xdr:colOff>6350</xdr:colOff>
      <xdr:row>25</xdr:row>
      <xdr:rowOff>19050</xdr:rowOff>
    </xdr:from>
    <xdr:to>
      <xdr:col>88</xdr:col>
      <xdr:colOff>12700</xdr:colOff>
      <xdr:row>49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564331-63C5-DEAC-26B2-B182B9A67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4052</xdr:colOff>
      <xdr:row>2</xdr:row>
      <xdr:rowOff>6485</xdr:rowOff>
    </xdr:from>
    <xdr:to>
      <xdr:col>16</xdr:col>
      <xdr:colOff>0</xdr:colOff>
      <xdr:row>33</xdr:row>
      <xdr:rowOff>13510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F7C9D-13D4-2C23-2009-31339E5EA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2951</xdr:colOff>
      <xdr:row>18</xdr:row>
      <xdr:rowOff>1771</xdr:rowOff>
    </xdr:from>
    <xdr:to>
      <xdr:col>26</xdr:col>
      <xdr:colOff>812209</xdr:colOff>
      <xdr:row>45</xdr:row>
      <xdr:rowOff>14766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F47F02-551E-F60F-9DC6-FE13595A2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18</xdr:col>
      <xdr:colOff>1092200</xdr:colOff>
      <xdr:row>35</xdr:row>
      <xdr:rowOff>0</xdr:rowOff>
    </xdr:from>
    <xdr:ext cx="3759200" cy="2286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05B5476-B2BC-A4D3-1C7F-6C0076924EF9}"/>
            </a:ext>
          </a:extLst>
        </xdr:cNvPr>
        <xdr:cNvSpPr txBox="1"/>
      </xdr:nvSpPr>
      <xdr:spPr>
        <a:xfrm>
          <a:off x="21399500" y="7226300"/>
          <a:ext cx="3759200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800" i="1">
              <a:solidFill>
                <a:schemeClr val="tx2">
                  <a:lumMod val="25000"/>
                  <a:lumOff val="75000"/>
                </a:schemeClr>
              </a:solidFill>
            </a:rPr>
            <a:t>W-shape pattern: Summer peak (Jun) and Winter peak (Dec) with Spring and Fall troughs.</a:t>
          </a:r>
          <a:endParaRPr lang="en-GB" sz="800">
            <a:solidFill>
              <a:schemeClr val="tx2">
                <a:lumMod val="25000"/>
                <a:lumOff val="75000"/>
              </a:schemeClr>
            </a:solidFill>
          </a:endParaRPr>
        </a:p>
      </xdr:txBody>
    </xdr:sp>
    <xdr:clientData/>
  </xdr:oneCellAnchor>
  <xdr:twoCellAnchor>
    <xdr:from>
      <xdr:col>4</xdr:col>
      <xdr:colOff>6350</xdr:colOff>
      <xdr:row>29</xdr:row>
      <xdr:rowOff>196850</xdr:rowOff>
    </xdr:from>
    <xdr:to>
      <xdr:col>12</xdr:col>
      <xdr:colOff>0</xdr:colOff>
      <xdr:row>55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3E4F3F-D1E5-39A7-3E60-DC7FB96F8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0.16947</cdr:x>
      <cdr:y>0.64873</cdr:y>
    </cdr:from>
    <cdr:to>
      <cdr:x>0.4241</cdr:x>
      <cdr:y>0.81386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5757AF8-4C64-5EF6-185A-77BDF0B8A326}"/>
            </a:ext>
          </a:extLst>
        </cdr:cNvPr>
        <cdr:cNvSpPr txBox="1"/>
      </cdr:nvSpPr>
      <cdr:spPr>
        <a:xfrm xmlns:a="http://schemas.openxmlformats.org/drawingml/2006/main">
          <a:off x="1775049" y="3592329"/>
          <a:ext cx="26670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0.60712</cdr:x>
      <cdr:y>0.17923</cdr:y>
    </cdr:from>
    <cdr:to>
      <cdr:x>0.87413</cdr:x>
      <cdr:y>0.22126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82DC3CC-1D5D-FE35-35B0-69086E6860BE}"/>
            </a:ext>
          </a:extLst>
        </cdr:cNvPr>
        <cdr:cNvSpPr txBox="1"/>
      </cdr:nvSpPr>
      <cdr:spPr>
        <a:xfrm xmlns:a="http://schemas.openxmlformats.org/drawingml/2006/main">
          <a:off x="6064250" y="920750"/>
          <a:ext cx="2667000" cy="215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000" i="1">
              <a:solidFill>
                <a:schemeClr val="tx2">
                  <a:lumMod val="25000"/>
                  <a:lumOff val="75000"/>
                </a:schemeClr>
              </a:solidFill>
            </a:rPr>
            <a:t>8–9 AM = safest (~25.5%) | 5 PM = riskiest (33.6%)</a:t>
          </a:r>
          <a:endParaRPr lang="en-GB" sz="1000" i="1" kern="1200">
            <a:solidFill>
              <a:schemeClr val="tx2">
                <a:lumMod val="25000"/>
                <a:lumOff val="75000"/>
              </a:schemeClr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1156770</xdr:colOff>
      <xdr:row>11</xdr:row>
      <xdr:rowOff>13158</xdr:rowOff>
    </xdr:from>
    <xdr:to>
      <xdr:col>8</xdr:col>
      <xdr:colOff>0</xdr:colOff>
      <xdr:row>37</xdr:row>
      <xdr:rowOff>198915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92C70-6D9A-A7A0-569C-94BACC420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94074</xdr:colOff>
      <xdr:row>23</xdr:row>
      <xdr:rowOff>47038</xdr:rowOff>
    </xdr:from>
    <xdr:ext cx="1274323" cy="43653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3BD373-998F-BD29-7BB0-384C62AFE015}"/>
            </a:ext>
          </a:extLst>
        </xdr:cNvPr>
        <xdr:cNvSpPr txBox="1"/>
      </xdr:nvSpPr>
      <xdr:spPr>
        <a:xfrm>
          <a:off x="7326018" y="4786019"/>
          <a:ext cx="1274323" cy="436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>
              <a:solidFill>
                <a:schemeClr val="accent1">
                  <a:lumMod val="40000"/>
                  <a:lumOff val="60000"/>
                </a:schemeClr>
              </a:solidFill>
            </a:rPr>
            <a:t>70.6%</a:t>
          </a:r>
        </a:p>
        <a:p>
          <a:r>
            <a:rPr lang="en-IN">
              <a:solidFill>
                <a:schemeClr val="accent1">
                  <a:lumMod val="40000"/>
                  <a:lumOff val="60000"/>
                </a:schemeClr>
              </a:solidFill>
            </a:rPr>
            <a:t> Airline- </a:t>
          </a:r>
          <a:r>
            <a:rPr lang="en-IN" sz="1000">
              <a:solidFill>
                <a:schemeClr val="accent1">
                  <a:lumMod val="40000"/>
                  <a:lumOff val="60000"/>
                </a:schemeClr>
              </a:solidFill>
            </a:rPr>
            <a:t>Controllable</a:t>
          </a:r>
          <a:endParaRPr lang="en-GB" sz="1100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oneCellAnchor>
  <xdr:twoCellAnchor>
    <xdr:from>
      <xdr:col>14</xdr:col>
      <xdr:colOff>3136</xdr:colOff>
      <xdr:row>49</xdr:row>
      <xdr:rowOff>311</xdr:rowOff>
    </xdr:from>
    <xdr:to>
      <xdr:col>22</xdr:col>
      <xdr:colOff>846667</xdr:colOff>
      <xdr:row>83</xdr:row>
      <xdr:rowOff>31357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BF55DD-18E5-1EA8-3871-B81E11CF1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ham kumar" refreshedDate="46195.075612499997" createdVersion="8" refreshedVersion="8" minRefreshableVersion="3" recordCount="6" xr:uid="{A1C81FC7-BC8F-024E-8944-32ABF791BB2B}">
  <cacheSource type="worksheet">
    <worksheetSource name="q1_consistent_routes" sheet="Route_Analysis"/>
  </cacheSource>
  <cacheFields count="3">
    <cacheField name="Route" numFmtId="0">
      <sharedItems count="6">
        <s v="FLL-&gt;RIC"/>
        <s v="GSO-&gt;IAD"/>
        <s v="DSM-&gt;DCA"/>
        <s v="EGE-&gt;CVG"/>
        <s v="JAN-&gt;CVG"/>
        <s v="SWF-&gt;MCO"/>
      </sharedItems>
    </cacheField>
    <cacheField name="Months_in_top10" numFmtId="0">
      <sharedItems containsSemiMixedTypes="0" containsString="0" containsNumber="1" containsInteger="1" minValue="2" maxValue="2"/>
    </cacheField>
    <cacheField name="Overall_avg_delay" numFmtId="0">
      <sharedItems containsSemiMixedTypes="0" containsString="0" containsNumber="1" minValue="128.5" maxValue="142" count="6">
        <n v="142"/>
        <n v="138"/>
        <n v="131"/>
        <n v="130.25"/>
        <n v="129"/>
        <n v="128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ham kumar" refreshedDate="46196.699649074071" createdVersion="8" refreshedVersion="8" minRefreshableVersion="3" recordCount="20" xr:uid="{32CD1066-6307-D74F-8FDE-FFB2E4DE7582}">
  <cacheSource type="worksheet">
    <worksheetSource name="q6_airline_severity" sheet="Airline_Performance_Analysis"/>
  </cacheSource>
  <cacheFields count="9">
    <cacheField name="Severity_Rank" numFmtId="0">
      <sharedItems containsSemiMixedTypes="0" containsString="0" containsNumber="1" containsInteger="1" minValue="1" maxValue="20"/>
    </cacheField>
    <cacheField name="Airline" numFmtId="0">
      <sharedItems count="20">
        <s v="B6"/>
        <s v="UA"/>
        <s v="YV"/>
        <s v="XE"/>
        <s v="OO"/>
        <s v="OH"/>
        <s v="AA"/>
        <s v="9E"/>
        <s v="EV"/>
        <s v="CO"/>
        <s v="MQ"/>
        <s v="FL"/>
        <s v="US"/>
        <s v="DL"/>
        <s v="NW"/>
        <s v="AS"/>
        <s v="WN"/>
        <s v="F9"/>
        <s v="HA"/>
        <s v="AQ"/>
      </sharedItems>
    </cacheField>
    <cacheField name="Total_Flights" numFmtId="0">
      <sharedItems containsSemiMixedTypes="0" containsString="0" containsNumber="1" containsInteger="1" minValue="330" maxValue="193552"/>
    </cacheField>
    <cacheField name="Severe_Delay_Flights" numFmtId="0">
      <sharedItems containsSemiMixedTypes="0" containsString="0" containsNumber="1" containsInteger="1" minValue="46" maxValue="44427"/>
    </cacheField>
    <cacheField name="Severe_Delay_Rate" numFmtId="0">
      <sharedItems containsSemiMixedTypes="0" containsString="0" containsNumber="1" minValue="13.94" maxValue="37.64"/>
    </cacheField>
    <cacheField name="Mild_Delay_Rate" numFmtId="0">
      <sharedItems containsSemiMixedTypes="0" containsString="0" containsNumber="1" minValue="28.42" maxValue="53.64"/>
    </cacheField>
    <cacheField name="Moderate_Delay_Rate" numFmtId="0">
      <sharedItems containsSemiMixedTypes="0" containsString="0" containsNumber="1" minValue="31.59" maxValue="36.14"/>
    </cacheField>
    <cacheField name="Avg_Delay" numFmtId="0">
      <sharedItems containsSemiMixedTypes="0" containsString="0" containsNumber="1" minValue="37.51" maxValue="56.85"/>
    </cacheField>
    <cacheField name="Severity_Profi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ham kumar" refreshedDate="46197.419282060182" createdVersion="8" refreshedVersion="8" minRefreshableVersion="3" recordCount="163" xr:uid="{AF9164AC-9C4F-C041-AC32-9282EDAD98F1}">
  <cacheSource type="worksheet">
    <worksheetSource name="q8_airport_dep_arr_profile" sheet="Airport_Analysis"/>
  </cacheSource>
  <cacheFields count="9">
    <cacheField name="Airport" numFmtId="0">
      <sharedItems/>
    </cacheField>
    <cacheField name="Total_Flights" numFmtId="0">
      <sharedItems containsSemiMixedTypes="0" containsString="0" containsNumber="1" containsInteger="1" minValue="526" maxValue="82625"/>
    </cacheField>
    <cacheField name="Avg_Dep_Delay" numFmtId="0">
      <sharedItems containsSemiMixedTypes="0" containsString="0" containsNumber="1" minValue="34.22" maxValue="62.05"/>
    </cacheField>
    <cacheField name="Avg_Arr_Delay" numFmtId="0">
      <sharedItems containsSemiMixedTypes="0" containsString="0" containsNumber="1" minValue="39.18" maxValue="64.87"/>
    </cacheField>
    <cacheField name="Avg_Recovery" numFmtId="0">
      <sharedItems containsSemiMixedTypes="0" containsString="0" containsNumber="1" minValue="-10.17" maxValue="2.62"/>
    </cacheField>
    <cacheField name="Dep_vs_Global" numFmtId="0">
      <sharedItems containsSemiMixedTypes="0" containsString="0" containsNumber="1" minValue="-13.12" maxValue="14.71"/>
    </cacheField>
    <cacheField name="Arr_vs_Global" numFmtId="0">
      <sharedItems containsSemiMixedTypes="0" containsString="0" containsNumber="1" minValue="-11.26" maxValue="14.43"/>
    </cacheField>
    <cacheField name="Delay_Profile" numFmtId="0">
      <sharedItems count="4">
        <s v="High Dep / Normal Arr : Ground Ops Problem"/>
        <s v="High Both : Systemic Problem"/>
        <s v="Normal Dep / High Arr : Destination Congestion"/>
        <s v="Normal Both : Well Performing"/>
      </sharedItems>
    </cacheField>
    <cacheField name="Ground_ops_Ran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2"/>
    <x v="0"/>
  </r>
  <r>
    <x v="1"/>
    <n v="2"/>
    <x v="1"/>
  </r>
  <r>
    <x v="2"/>
    <n v="2"/>
    <x v="2"/>
  </r>
  <r>
    <x v="3"/>
    <n v="2"/>
    <x v="3"/>
  </r>
  <r>
    <x v="4"/>
    <n v="2"/>
    <x v="4"/>
  </r>
  <r>
    <x v="5"/>
    <n v="2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  <n v="33297"/>
    <n v="12532"/>
    <n v="37.64"/>
    <n v="28.42"/>
    <n v="33.950000000000003"/>
    <n v="56.85"/>
    <s v="High Severity"/>
  </r>
  <r>
    <n v="2"/>
    <x v="1"/>
    <n v="86210"/>
    <n v="30049"/>
    <n v="34.86"/>
    <n v="31.57"/>
    <n v="33.57"/>
    <n v="54.32"/>
    <s v="High Severity"/>
  </r>
  <r>
    <n v="3"/>
    <x v="2"/>
    <n v="45261"/>
    <n v="15639"/>
    <n v="34.549999999999997"/>
    <n v="33.04"/>
    <n v="32.4"/>
    <n v="54.33"/>
    <s v="High Severity"/>
  </r>
  <r>
    <n v="4"/>
    <x v="3"/>
    <n v="64663"/>
    <n v="21806"/>
    <n v="33.72"/>
    <n v="32.979999999999997"/>
    <n v="33.299999999999997"/>
    <n v="53.49"/>
    <s v="High Severity"/>
  </r>
  <r>
    <n v="5"/>
    <x v="4"/>
    <n v="82411"/>
    <n v="27715"/>
    <n v="33.630000000000003"/>
    <n v="34.6"/>
    <n v="31.77"/>
    <n v="53.15"/>
    <s v="High Severity"/>
  </r>
  <r>
    <n v="6"/>
    <x v="5"/>
    <n v="36103"/>
    <n v="11942"/>
    <n v="33.08"/>
    <n v="32.619999999999997"/>
    <n v="34.299999999999997"/>
    <n v="53.27"/>
    <s v="High Severity"/>
  </r>
  <r>
    <n v="7"/>
    <x v="6"/>
    <n v="122213"/>
    <n v="39918"/>
    <n v="32.659999999999997"/>
    <n v="32.659999999999997"/>
    <n v="34.67"/>
    <n v="52.68"/>
    <s v="High Severity"/>
  </r>
  <r>
    <n v="8"/>
    <x v="7"/>
    <n v="32769"/>
    <n v="10632"/>
    <n v="32.450000000000003"/>
    <n v="33.630000000000003"/>
    <n v="33.93"/>
    <n v="52.48"/>
    <s v="High Severity"/>
  </r>
  <r>
    <n v="9"/>
    <x v="8"/>
    <n v="51901"/>
    <n v="16439"/>
    <n v="31.67"/>
    <n v="34.64"/>
    <n v="33.68"/>
    <n v="52.14"/>
    <s v="High Severity"/>
  </r>
  <r>
    <n v="10"/>
    <x v="9"/>
    <n v="53351"/>
    <n v="16887"/>
    <n v="31.65"/>
    <n v="34.520000000000003"/>
    <n v="33.83"/>
    <n v="51.77"/>
    <s v="High Severity"/>
  </r>
  <r>
    <n v="11"/>
    <x v="10"/>
    <n v="91420"/>
    <n v="28544"/>
    <n v="31.22"/>
    <n v="33.869999999999997"/>
    <n v="34.909999999999997"/>
    <n v="51.55"/>
    <s v="High Severity"/>
  </r>
  <r>
    <n v="12"/>
    <x v="11"/>
    <n v="43174"/>
    <n v="12705"/>
    <n v="29.43"/>
    <n v="37.799999999999997"/>
    <n v="32.770000000000003"/>
    <n v="50.08"/>
    <s v="Moderate Severity"/>
  </r>
  <r>
    <n v="13"/>
    <x v="12"/>
    <n v="55616"/>
    <n v="14964"/>
    <n v="26.91"/>
    <n v="38.06"/>
    <n v="35.04"/>
    <n v="48.21"/>
    <s v="Moderate Severity"/>
  </r>
  <r>
    <n v="14"/>
    <x v="13"/>
    <n v="66917"/>
    <n v="17896"/>
    <n v="26.74"/>
    <n v="39.479999999999997"/>
    <n v="33.770000000000003"/>
    <n v="48.21"/>
    <s v="Moderate Severity"/>
  </r>
  <r>
    <n v="15"/>
    <x v="14"/>
    <n v="51668"/>
    <n v="13708"/>
    <n v="26.53"/>
    <n v="37.32"/>
    <n v="36.14"/>
    <n v="47.85"/>
    <s v="Moderate Severity"/>
  </r>
  <r>
    <n v="16"/>
    <x v="15"/>
    <n v="22630"/>
    <n v="5527"/>
    <n v="24.42"/>
    <n v="39.93"/>
    <n v="35.65"/>
    <n v="46.28"/>
    <s v="Moderate Severity"/>
  </r>
  <r>
    <n v="17"/>
    <x v="16"/>
    <n v="193552"/>
    <n v="44427"/>
    <n v="22.95"/>
    <n v="42.9"/>
    <n v="34.15"/>
    <n v="44.66"/>
    <s v="Moderate Severity"/>
  </r>
  <r>
    <n v="18"/>
    <x v="17"/>
    <n v="15497"/>
    <n v="2737"/>
    <n v="17.66"/>
    <n v="50.75"/>
    <n v="31.59"/>
    <n v="39.85"/>
    <s v="Low Severity"/>
  </r>
  <r>
    <n v="19"/>
    <x v="18"/>
    <n v="4063"/>
    <n v="622"/>
    <n v="15.31"/>
    <n v="52.89"/>
    <n v="31.8"/>
    <n v="38.340000000000003"/>
    <s v="Low Severity"/>
  </r>
  <r>
    <n v="20"/>
    <x v="19"/>
    <n v="330"/>
    <n v="46"/>
    <n v="13.94"/>
    <n v="53.64"/>
    <n v="32.42"/>
    <n v="37.51"/>
    <s v="Low Severity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s v="GJT"/>
    <n v="536"/>
    <n v="48.97"/>
    <n v="48.78"/>
    <n v="0.19"/>
    <n v="1.63"/>
    <n v="-1.66"/>
    <x v="0"/>
    <s v="NULL"/>
  </r>
  <r>
    <s v="TPA"/>
    <n v="11655"/>
    <n v="48.6"/>
    <n v="49.71"/>
    <n v="-1.1100000000000001"/>
    <n v="1.26"/>
    <n v="-0.73"/>
    <x v="0"/>
    <s v="NULL"/>
  </r>
  <r>
    <s v="LAS"/>
    <n v="28308"/>
    <n v="48.48"/>
    <n v="47.05"/>
    <n v="1.43"/>
    <n v="1.1399999999999999"/>
    <n v="-3.39"/>
    <x v="0"/>
    <s v="NULL"/>
  </r>
  <r>
    <s v="LIT"/>
    <n v="2600"/>
    <n v="47.73"/>
    <n v="50.16"/>
    <n v="-2.4300000000000002"/>
    <n v="0.39"/>
    <n v="-0.28000000000000003"/>
    <x v="0"/>
    <s v="NULL"/>
  </r>
  <r>
    <s v="BUR"/>
    <n v="4032"/>
    <n v="47.38"/>
    <n v="46.91"/>
    <n v="0.47"/>
    <n v="0.04"/>
    <n v="-3.53"/>
    <x v="0"/>
    <s v="NULL"/>
  </r>
  <r>
    <s v="DAB"/>
    <n v="531"/>
    <n v="50.27"/>
    <n v="56.6"/>
    <n v="-6.33"/>
    <n v="2.93"/>
    <n v="6.16"/>
    <x v="1"/>
    <s v="NULL"/>
  </r>
  <r>
    <s v="DAY"/>
    <n v="1976"/>
    <n v="48.29"/>
    <n v="53.7"/>
    <n v="-5.41"/>
    <n v="0.95"/>
    <n v="3.26"/>
    <x v="1"/>
    <s v="NULL"/>
  </r>
  <r>
    <s v="DSM"/>
    <n v="2556"/>
    <n v="50.18"/>
    <n v="55.35"/>
    <n v="-5.17"/>
    <n v="2.84"/>
    <n v="4.91"/>
    <x v="1"/>
    <s v="NULL"/>
  </r>
  <r>
    <s v="EGE"/>
    <n v="526"/>
    <n v="52.97"/>
    <n v="60.12"/>
    <n v="-7.15"/>
    <n v="5.63"/>
    <n v="9.68"/>
    <x v="1"/>
    <s v="NULL"/>
  </r>
  <r>
    <s v="EUG"/>
    <n v="635"/>
    <n v="56.84"/>
    <n v="60.55"/>
    <n v="-3.71"/>
    <n v="9.5"/>
    <n v="10.11"/>
    <x v="1"/>
    <s v="NULL"/>
  </r>
  <r>
    <s v="EVV"/>
    <n v="765"/>
    <n v="50.24"/>
    <n v="56.44"/>
    <n v="-6.2"/>
    <n v="2.9"/>
    <n v="6"/>
    <x v="1"/>
    <s v="NULL"/>
  </r>
  <r>
    <s v="EWR"/>
    <n v="32288"/>
    <n v="51.13"/>
    <n v="55.71"/>
    <n v="-4.58"/>
    <n v="3.79"/>
    <n v="5.27"/>
    <x v="1"/>
    <s v="NULL"/>
  </r>
  <r>
    <s v="FAR"/>
    <n v="628"/>
    <n v="53.31"/>
    <n v="59.21"/>
    <n v="-5.9"/>
    <n v="5.97"/>
    <n v="8.77"/>
    <x v="1"/>
    <s v="NULL"/>
  </r>
  <r>
    <s v="FAT"/>
    <n v="1765"/>
    <n v="50.85"/>
    <n v="51.98"/>
    <n v="-1.1299999999999999"/>
    <n v="3.51"/>
    <n v="1.54"/>
    <x v="1"/>
    <s v="NULL"/>
  </r>
  <r>
    <s v="FLL"/>
    <n v="11496"/>
    <n v="47.37"/>
    <n v="51.51"/>
    <n v="-4.1399999999999997"/>
    <n v="0.03"/>
    <n v="1.07"/>
    <x v="1"/>
    <s v="NULL"/>
  </r>
  <r>
    <s v="FSD"/>
    <n v="856"/>
    <n v="55.7"/>
    <n v="60.51"/>
    <n v="-4.8099999999999996"/>
    <n v="8.36"/>
    <n v="10.07"/>
    <x v="1"/>
    <s v="NULL"/>
  </r>
  <r>
    <s v="FWA"/>
    <n v="979"/>
    <n v="52.81"/>
    <n v="58.92"/>
    <n v="-6.11"/>
    <n v="5.47"/>
    <n v="8.48"/>
    <x v="1"/>
    <s v="NULL"/>
  </r>
  <r>
    <s v="GPT"/>
    <n v="1144"/>
    <n v="49.62"/>
    <n v="53.94"/>
    <n v="-4.32"/>
    <n v="2.2799999999999998"/>
    <n v="3.5"/>
    <x v="1"/>
    <s v="NULL"/>
  </r>
  <r>
    <s v="GRB"/>
    <n v="1235"/>
    <n v="51.57"/>
    <n v="59.08"/>
    <n v="-7.51"/>
    <n v="4.2300000000000004"/>
    <n v="8.64"/>
    <x v="1"/>
    <s v="NULL"/>
  </r>
  <r>
    <s v="GRR"/>
    <n v="2308"/>
    <n v="48.66"/>
    <n v="54.52"/>
    <n v="-5.86"/>
    <n v="1.32"/>
    <n v="4.08"/>
    <x v="1"/>
    <s v="NULL"/>
  </r>
  <r>
    <s v="GSO"/>
    <n v="2012"/>
    <n v="52.21"/>
    <n v="55.62"/>
    <n v="-3.41"/>
    <n v="4.87"/>
    <n v="5.18"/>
    <x v="1"/>
    <s v="NULL"/>
  </r>
  <r>
    <s v="GSP"/>
    <n v="1635"/>
    <n v="52.85"/>
    <n v="56.08"/>
    <n v="-3.23"/>
    <n v="5.51"/>
    <n v="5.64"/>
    <x v="1"/>
    <s v="NULL"/>
  </r>
  <r>
    <s v="IAD"/>
    <n v="13659"/>
    <n v="50.93"/>
    <n v="55.19"/>
    <n v="-4.26"/>
    <n v="3.59"/>
    <n v="4.75"/>
    <x v="1"/>
    <s v="NULL"/>
  </r>
  <r>
    <s v="ICT"/>
    <n v="2010"/>
    <n v="50.06"/>
    <n v="54.86"/>
    <n v="-4.8"/>
    <n v="2.72"/>
    <n v="4.42"/>
    <x v="1"/>
    <s v="NULL"/>
  </r>
  <r>
    <s v="ILM"/>
    <n v="576"/>
    <n v="47.67"/>
    <n v="52.97"/>
    <n v="-5.3"/>
    <n v="0.33"/>
    <n v="2.5299999999999998"/>
    <x v="1"/>
    <s v="NULL"/>
  </r>
  <r>
    <s v="JAC"/>
    <n v="583"/>
    <n v="50.36"/>
    <n v="55.07"/>
    <n v="-4.71"/>
    <n v="3.02"/>
    <n v="4.63"/>
    <x v="1"/>
    <s v="NULL"/>
  </r>
  <r>
    <s v="JAX"/>
    <n v="4851"/>
    <n v="48.97"/>
    <n v="51.2"/>
    <n v="-2.23"/>
    <n v="1.63"/>
    <n v="0.76"/>
    <x v="1"/>
    <s v="NULL"/>
  </r>
  <r>
    <s v="JFK"/>
    <n v="20845"/>
    <n v="48.59"/>
    <n v="57.23"/>
    <n v="-8.64"/>
    <n v="1.25"/>
    <n v="6.79"/>
    <x v="1"/>
    <s v="NULL"/>
  </r>
  <r>
    <s v="LAN"/>
    <n v="541"/>
    <n v="52.21"/>
    <n v="56.7"/>
    <n v="-4.49"/>
    <n v="4.87"/>
    <n v="6.26"/>
    <x v="1"/>
    <s v="NULL"/>
  </r>
  <r>
    <s v="LEX"/>
    <n v="1306"/>
    <n v="54.29"/>
    <n v="56.96"/>
    <n v="-2.67"/>
    <n v="6.95"/>
    <n v="6.52"/>
    <x v="1"/>
    <s v="NULL"/>
  </r>
  <r>
    <s v="LFT"/>
    <n v="635"/>
    <n v="49.37"/>
    <n v="55.68"/>
    <n v="-6.31"/>
    <n v="2.0299999999999998"/>
    <n v="5.24"/>
    <x v="1"/>
    <s v="NULL"/>
  </r>
  <r>
    <s v="LGA"/>
    <n v="20642"/>
    <n v="49.66"/>
    <n v="55.07"/>
    <n v="-5.41"/>
    <n v="2.3199999999999998"/>
    <n v="4.63"/>
    <x v="1"/>
    <s v="NULL"/>
  </r>
  <r>
    <s v="LGB"/>
    <n v="1857"/>
    <n v="50.29"/>
    <n v="50.49"/>
    <n v="-0.2"/>
    <n v="2.95"/>
    <n v="0.05"/>
    <x v="1"/>
    <s v="NULL"/>
  </r>
  <r>
    <s v="MCO"/>
    <n v="20527"/>
    <n v="48.39"/>
    <n v="50.52"/>
    <n v="-2.13"/>
    <n v="1.05"/>
    <n v="0.08"/>
    <x v="1"/>
    <s v="NULL"/>
  </r>
  <r>
    <s v="MDT"/>
    <n v="1076"/>
    <n v="52.5"/>
    <n v="57.12"/>
    <n v="-4.62"/>
    <n v="5.16"/>
    <n v="6.68"/>
    <x v="1"/>
    <s v="NULL"/>
  </r>
  <r>
    <s v="MEM"/>
    <n v="11614"/>
    <n v="47.71"/>
    <n v="51.77"/>
    <n v="-4.0599999999999996"/>
    <n v="0.37"/>
    <n v="1.33"/>
    <x v="1"/>
    <s v="NULL"/>
  </r>
  <r>
    <s v="MFR"/>
    <n v="755"/>
    <n v="60.52"/>
    <n v="62.24"/>
    <n v="-1.72"/>
    <n v="13.18"/>
    <n v="11.8"/>
    <x v="1"/>
    <s v="NULL"/>
  </r>
  <r>
    <s v="MGM"/>
    <n v="526"/>
    <n v="49.3"/>
    <n v="53.44"/>
    <n v="-4.1399999999999997"/>
    <n v="1.96"/>
    <n v="3"/>
    <x v="1"/>
    <s v="NULL"/>
  </r>
  <r>
    <s v="MHT"/>
    <n v="2692"/>
    <n v="50.55"/>
    <n v="53.67"/>
    <n v="-3.12"/>
    <n v="3.21"/>
    <n v="3.23"/>
    <x v="1"/>
    <s v="NULL"/>
  </r>
  <r>
    <s v="MIA"/>
    <n v="14740"/>
    <n v="49.23"/>
    <n v="52.2"/>
    <n v="-2.97"/>
    <n v="1.89"/>
    <n v="1.76"/>
    <x v="1"/>
    <s v="NULL"/>
  </r>
  <r>
    <s v="PIA"/>
    <n v="760"/>
    <n v="53.7"/>
    <n v="62.25"/>
    <n v="-8.5500000000000007"/>
    <n v="6.36"/>
    <n v="11.81"/>
    <x v="1"/>
    <s v="NULL"/>
  </r>
  <r>
    <s v="MRY"/>
    <n v="1107"/>
    <n v="52.38"/>
    <n v="54.83"/>
    <n v="-2.4500000000000002"/>
    <n v="5.04"/>
    <n v="4.3899999999999997"/>
    <x v="1"/>
    <s v="NULL"/>
  </r>
  <r>
    <s v="MSN"/>
    <n v="2123"/>
    <n v="51.29"/>
    <n v="56.87"/>
    <n v="-5.58"/>
    <n v="3.95"/>
    <n v="6.43"/>
    <x v="1"/>
    <s v="NULL"/>
  </r>
  <r>
    <s v="MYR"/>
    <n v="704"/>
    <n v="54.08"/>
    <n v="55.99"/>
    <n v="-1.91"/>
    <n v="6.74"/>
    <n v="5.55"/>
    <x v="1"/>
    <s v="NULL"/>
  </r>
  <r>
    <s v="OMA"/>
    <n v="3919"/>
    <n v="49.64"/>
    <n v="52.38"/>
    <n v="-2.74"/>
    <n v="2.2999999999999998"/>
    <n v="1.94"/>
    <x v="1"/>
    <s v="NULL"/>
  </r>
  <r>
    <s v="ORD"/>
    <n v="82625"/>
    <n v="52.15"/>
    <n v="55.89"/>
    <n v="-3.74"/>
    <n v="4.8099999999999996"/>
    <n v="5.45"/>
    <x v="1"/>
    <s v="NULL"/>
  </r>
  <r>
    <s v="ORF"/>
    <n v="2356"/>
    <n v="49.88"/>
    <n v="52.37"/>
    <n v="-2.4900000000000002"/>
    <n v="2.54"/>
    <n v="1.93"/>
    <x v="1"/>
    <s v="NULL"/>
  </r>
  <r>
    <s v="PBI"/>
    <n v="4497"/>
    <n v="51.28"/>
    <n v="53.41"/>
    <n v="-2.13"/>
    <n v="3.94"/>
    <n v="2.97"/>
    <x v="1"/>
    <s v="NULL"/>
  </r>
  <r>
    <s v="PFN"/>
    <n v="541"/>
    <n v="54.44"/>
    <n v="57.81"/>
    <n v="-3.37"/>
    <n v="7.1"/>
    <n v="7.37"/>
    <x v="1"/>
    <s v="NULL"/>
  </r>
  <r>
    <s v="PHF"/>
    <n v="931"/>
    <n v="47.81"/>
    <n v="54.41"/>
    <n v="-6.6"/>
    <n v="0.47"/>
    <n v="3.97"/>
    <x v="1"/>
    <s v="NULL"/>
  </r>
  <r>
    <s v="PHL"/>
    <n v="17112"/>
    <n v="50.58"/>
    <n v="54.76"/>
    <n v="-4.18"/>
    <n v="3.24"/>
    <n v="4.32"/>
    <x v="1"/>
    <s v="NULL"/>
  </r>
  <r>
    <s v="ABE"/>
    <n v="589"/>
    <n v="52.88"/>
    <n v="58.08"/>
    <n v="-5.2"/>
    <n v="5.54"/>
    <n v="7.64"/>
    <x v="1"/>
    <s v="NULL"/>
  </r>
  <r>
    <s v="PIT"/>
    <n v="6408"/>
    <n v="47.59"/>
    <n v="52.42"/>
    <n v="-4.83"/>
    <n v="0.25"/>
    <n v="1.98"/>
    <x v="1"/>
    <s v="NULL"/>
  </r>
  <r>
    <s v="PVD"/>
    <n v="3239"/>
    <n v="49.27"/>
    <n v="52.58"/>
    <n v="-3.31"/>
    <n v="1.93"/>
    <n v="2.14"/>
    <x v="1"/>
    <s v="NULL"/>
  </r>
  <r>
    <s v="PWM"/>
    <n v="1170"/>
    <n v="52.05"/>
    <n v="58.05"/>
    <n v="-6"/>
    <n v="4.71"/>
    <n v="7.61"/>
    <x v="1"/>
    <s v="NULL"/>
  </r>
  <r>
    <s v="RDU"/>
    <n v="9565"/>
    <n v="50.12"/>
    <n v="53.08"/>
    <n v="-2.96"/>
    <n v="2.78"/>
    <n v="2.64"/>
    <x v="1"/>
    <s v="NULL"/>
  </r>
  <r>
    <s v="RIC"/>
    <n v="3059"/>
    <n v="51.88"/>
    <n v="56.5"/>
    <n v="-4.62"/>
    <n v="4.54"/>
    <n v="6.06"/>
    <x v="1"/>
    <s v="NULL"/>
  </r>
  <r>
    <s v="ROA"/>
    <n v="566"/>
    <n v="53.16"/>
    <n v="55.53"/>
    <n v="-2.37"/>
    <n v="5.82"/>
    <n v="5.09"/>
    <x v="1"/>
    <s v="NULL"/>
  </r>
  <r>
    <s v="ROC"/>
    <n v="2296"/>
    <n v="49.96"/>
    <n v="56.72"/>
    <n v="-6.76"/>
    <n v="2.62"/>
    <n v="6.28"/>
    <x v="1"/>
    <s v="NULL"/>
  </r>
  <r>
    <s v="RST"/>
    <n v="597"/>
    <n v="49.11"/>
    <n v="58.76"/>
    <n v="-9.65"/>
    <n v="1.77"/>
    <n v="8.32"/>
    <x v="1"/>
    <s v="NULL"/>
  </r>
  <r>
    <s v="RSW"/>
    <n v="3880"/>
    <n v="49.4"/>
    <n v="51.72"/>
    <n v="-2.3199999999999998"/>
    <n v="2.06"/>
    <n v="1.28"/>
    <x v="1"/>
    <s v="NULL"/>
  </r>
  <r>
    <s v="SAV"/>
    <n v="2211"/>
    <n v="49.67"/>
    <n v="52.83"/>
    <n v="-3.16"/>
    <n v="2.33"/>
    <n v="2.39"/>
    <x v="1"/>
    <s v="NULL"/>
  </r>
  <r>
    <s v="SBA"/>
    <n v="1589"/>
    <n v="56.95"/>
    <n v="57.45"/>
    <n v="-0.5"/>
    <n v="9.61"/>
    <n v="7.01"/>
    <x v="1"/>
    <s v="NULL"/>
  </r>
  <r>
    <s v="SBN"/>
    <n v="927"/>
    <n v="54.21"/>
    <n v="56.45"/>
    <n v="-2.2400000000000002"/>
    <n v="6.87"/>
    <n v="6.01"/>
    <x v="1"/>
    <s v="NULL"/>
  </r>
  <r>
    <s v="SBP"/>
    <n v="750"/>
    <n v="60.61"/>
    <n v="61.96"/>
    <n v="-1.35"/>
    <n v="13.27"/>
    <n v="11.52"/>
    <x v="1"/>
    <s v="NULL"/>
  </r>
  <r>
    <s v="SDF"/>
    <n v="3502"/>
    <n v="49.63"/>
    <n v="53.11"/>
    <n v="-3.48"/>
    <n v="2.29"/>
    <n v="2.67"/>
    <x v="1"/>
    <s v="NULL"/>
  </r>
  <r>
    <s v="SFO"/>
    <n v="27939"/>
    <n v="54.03"/>
    <n v="54.04"/>
    <n v="-0.01"/>
    <n v="6.69"/>
    <n v="3.6"/>
    <x v="1"/>
    <s v="NULL"/>
  </r>
  <r>
    <s v="SGF"/>
    <n v="1504"/>
    <n v="52.21"/>
    <n v="57.48"/>
    <n v="-5.27"/>
    <n v="4.87"/>
    <n v="7.04"/>
    <x v="1"/>
    <s v="NULL"/>
  </r>
  <r>
    <s v="SJU"/>
    <n v="3417"/>
    <n v="49.08"/>
    <n v="51.93"/>
    <n v="-2.85"/>
    <n v="1.74"/>
    <n v="1.49"/>
    <x v="1"/>
    <s v="NULL"/>
  </r>
  <r>
    <s v="SRQ"/>
    <n v="1031"/>
    <n v="48.37"/>
    <n v="52.37"/>
    <n v="-4"/>
    <n v="1.03"/>
    <n v="1.93"/>
    <x v="1"/>
    <s v="NULL"/>
  </r>
  <r>
    <s v="SYR"/>
    <n v="2110"/>
    <n v="49.23"/>
    <n v="54.92"/>
    <n v="-5.69"/>
    <n v="1.89"/>
    <n v="4.4800000000000004"/>
    <x v="1"/>
    <s v="NULL"/>
  </r>
  <r>
    <s v="TLH"/>
    <n v="812"/>
    <n v="49.33"/>
    <n v="52.41"/>
    <n v="-3.08"/>
    <n v="1.99"/>
    <n v="1.97"/>
    <x v="1"/>
    <s v="NULL"/>
  </r>
  <r>
    <s v="TVC"/>
    <n v="648"/>
    <n v="51.85"/>
    <n v="56.8"/>
    <n v="-4.95"/>
    <n v="4.51"/>
    <n v="6.36"/>
    <x v="1"/>
    <s v="NULL"/>
  </r>
  <r>
    <s v="TYS"/>
    <n v="2100"/>
    <n v="52.06"/>
    <n v="55.67"/>
    <n v="-3.61"/>
    <n v="4.72"/>
    <n v="5.23"/>
    <x v="1"/>
    <s v="NULL"/>
  </r>
  <r>
    <s v="XNA"/>
    <n v="2284"/>
    <n v="51.13"/>
    <n v="55.79"/>
    <n v="-4.66"/>
    <n v="3.79"/>
    <n v="5.35"/>
    <x v="1"/>
    <s v="NULL"/>
  </r>
  <r>
    <s v="ACV"/>
    <n v="777"/>
    <n v="62.05"/>
    <n v="64.87"/>
    <n v="-2.82"/>
    <n v="14.71"/>
    <n v="14.43"/>
    <x v="1"/>
    <s v="NULL"/>
  </r>
  <r>
    <s v="ALB"/>
    <n v="1901"/>
    <n v="48.33"/>
    <n v="52.53"/>
    <n v="-4.2"/>
    <n v="0.99"/>
    <n v="2.09"/>
    <x v="1"/>
    <s v="NULL"/>
  </r>
  <r>
    <s v="ASE"/>
    <n v="1063"/>
    <n v="50.72"/>
    <n v="54.69"/>
    <n v="-3.97"/>
    <n v="3.38"/>
    <n v="4.25"/>
    <x v="1"/>
    <s v="NULL"/>
  </r>
  <r>
    <s v="ATW"/>
    <n v="883"/>
    <n v="51.22"/>
    <n v="55.95"/>
    <n v="-4.7300000000000004"/>
    <n v="3.88"/>
    <n v="5.51"/>
    <x v="1"/>
    <s v="NULL"/>
  </r>
  <r>
    <s v="AVL"/>
    <n v="636"/>
    <n v="53.17"/>
    <n v="55.44"/>
    <n v="-2.27"/>
    <n v="5.83"/>
    <n v="5"/>
    <x v="1"/>
    <s v="NULL"/>
  </r>
  <r>
    <s v="AZO"/>
    <n v="544"/>
    <n v="52.58"/>
    <n v="60.16"/>
    <n v="-7.58"/>
    <n v="5.24"/>
    <n v="9.7200000000000006"/>
    <x v="1"/>
    <s v="NULL"/>
  </r>
  <r>
    <s v="BMI"/>
    <n v="760"/>
    <n v="50.43"/>
    <n v="55.15"/>
    <n v="-4.72"/>
    <n v="3.09"/>
    <n v="4.71"/>
    <x v="1"/>
    <s v="NULL"/>
  </r>
  <r>
    <s v="BOI"/>
    <n v="2133"/>
    <n v="49.46"/>
    <n v="50.62"/>
    <n v="-1.1599999999999999"/>
    <n v="2.12"/>
    <n v="0.18"/>
    <x v="1"/>
    <s v="NULL"/>
  </r>
  <r>
    <s v="BOS"/>
    <n v="17853"/>
    <n v="49.84"/>
    <n v="55.79"/>
    <n v="-5.95"/>
    <n v="2.5"/>
    <n v="5.35"/>
    <x v="1"/>
    <s v="NULL"/>
  </r>
  <r>
    <s v="BTV"/>
    <n v="1142"/>
    <n v="50.38"/>
    <n v="58.4"/>
    <n v="-8.02"/>
    <n v="3.04"/>
    <n v="7.96"/>
    <x v="1"/>
    <s v="NULL"/>
  </r>
  <r>
    <s v="BUF"/>
    <n v="4007"/>
    <n v="48.88"/>
    <n v="54.09"/>
    <n v="-5.21"/>
    <n v="1.54"/>
    <n v="3.65"/>
    <x v="1"/>
    <s v="NULL"/>
  </r>
  <r>
    <s v="CAE"/>
    <n v="1791"/>
    <n v="53.98"/>
    <n v="56.54"/>
    <n v="-2.56"/>
    <n v="6.64"/>
    <n v="6.1"/>
    <x v="1"/>
    <s v="NULL"/>
  </r>
  <r>
    <s v="CAK"/>
    <n v="1410"/>
    <n v="47.83"/>
    <n v="54.61"/>
    <n v="-6.78"/>
    <n v="0.49"/>
    <n v="4.17"/>
    <x v="1"/>
    <s v="NULL"/>
  </r>
  <r>
    <s v="CHA"/>
    <n v="566"/>
    <n v="49.85"/>
    <n v="56.02"/>
    <n v="-6.17"/>
    <n v="2.5099999999999998"/>
    <n v="5.58"/>
    <x v="1"/>
    <s v="NULL"/>
  </r>
  <r>
    <s v="MLI"/>
    <n v="1314"/>
    <n v="51.41"/>
    <n v="56.38"/>
    <n v="-4.97"/>
    <n v="4.07"/>
    <n v="5.94"/>
    <x v="1"/>
    <s v="NULL"/>
  </r>
  <r>
    <s v="CHS"/>
    <n v="2299"/>
    <n v="50.04"/>
    <n v="52.84"/>
    <n v="-2.8"/>
    <n v="2.7"/>
    <n v="2.4"/>
    <x v="1"/>
    <s v="NULL"/>
  </r>
  <r>
    <s v="CID"/>
    <n v="1473"/>
    <n v="50.03"/>
    <n v="55.85"/>
    <n v="-5.82"/>
    <n v="2.69"/>
    <n v="5.41"/>
    <x v="1"/>
    <s v="NULL"/>
  </r>
  <r>
    <s v="CLE"/>
    <n v="10264"/>
    <n v="47.89"/>
    <n v="51.9"/>
    <n v="-4.01"/>
    <n v="0.55000000000000004"/>
    <n v="1.46"/>
    <x v="1"/>
    <s v="NULL"/>
  </r>
  <r>
    <s v="CMH"/>
    <n v="5044"/>
    <n v="50.02"/>
    <n v="53.54"/>
    <n v="-3.52"/>
    <n v="2.68"/>
    <n v="3.1"/>
    <x v="1"/>
    <s v="NULL"/>
  </r>
  <r>
    <s v="BTR"/>
    <n v="1558"/>
    <n v="46.95"/>
    <n v="52.5"/>
    <n v="-5.55"/>
    <n v="-0.39"/>
    <n v="2.06"/>
    <x v="2"/>
    <s v="NULL"/>
  </r>
  <r>
    <s v="MKE"/>
    <n v="7385"/>
    <n v="45.5"/>
    <n v="51.55"/>
    <n v="-6.05"/>
    <n v="-1.84"/>
    <n v="1.1100000000000001"/>
    <x v="2"/>
    <s v="NULL"/>
  </r>
  <r>
    <s v="BZN"/>
    <n v="554"/>
    <n v="46.36"/>
    <n v="52.94"/>
    <n v="-6.58"/>
    <n v="-0.98"/>
    <n v="2.5"/>
    <x v="2"/>
    <s v="NULL"/>
  </r>
  <r>
    <s v="DCA"/>
    <n v="10662"/>
    <n v="45.44"/>
    <n v="51.79"/>
    <n v="-6.35"/>
    <n v="-1.9"/>
    <n v="1.35"/>
    <x v="2"/>
    <s v="NULL"/>
  </r>
  <r>
    <s v="IND"/>
    <n v="5868"/>
    <n v="45.89"/>
    <n v="50.63"/>
    <n v="-4.74"/>
    <n v="-1.45"/>
    <n v="0.19"/>
    <x v="2"/>
    <s v="NULL"/>
  </r>
  <r>
    <s v="FNT"/>
    <n v="1128"/>
    <n v="44.15"/>
    <n v="52"/>
    <n v="-7.85"/>
    <n v="-3.19"/>
    <n v="1.56"/>
    <x v="2"/>
    <s v="NULL"/>
  </r>
  <r>
    <s v="MOB"/>
    <n v="898"/>
    <n v="47.13"/>
    <n v="53.13"/>
    <n v="-6"/>
    <n v="-0.21"/>
    <n v="2.69"/>
    <x v="2"/>
    <s v="NULL"/>
  </r>
  <r>
    <s v="BHM"/>
    <n v="3586"/>
    <n v="47.32"/>
    <n v="50.53"/>
    <n v="-3.21"/>
    <n v="-0.02"/>
    <n v="0.09"/>
    <x v="2"/>
    <s v="NULL"/>
  </r>
  <r>
    <s v="DTW"/>
    <n v="29051"/>
    <n v="43.13"/>
    <n v="50.62"/>
    <n v="-7.49"/>
    <n v="-4.21"/>
    <n v="0.18"/>
    <x v="2"/>
    <s v="NULL"/>
  </r>
  <r>
    <s v="VPS"/>
    <n v="1009"/>
    <n v="46.59"/>
    <n v="52.96"/>
    <n v="-6.37"/>
    <n v="-0.75"/>
    <n v="2.52"/>
    <x v="2"/>
    <s v="NULL"/>
  </r>
  <r>
    <s v="HSV"/>
    <n v="1560"/>
    <n v="47.17"/>
    <n v="52.57"/>
    <n v="-5.4"/>
    <n v="-0.17"/>
    <n v="2.13"/>
    <x v="2"/>
    <s v="NULL"/>
  </r>
  <r>
    <s v="PNS"/>
    <n v="1390"/>
    <n v="46.84"/>
    <n v="51.64"/>
    <n v="-4.8"/>
    <n v="-0.5"/>
    <n v="1.2"/>
    <x v="2"/>
    <s v="NULL"/>
  </r>
  <r>
    <s v="BDL"/>
    <n v="3807"/>
    <n v="46.08"/>
    <n v="51.99"/>
    <n v="-5.91"/>
    <n v="-1.26"/>
    <n v="1.55"/>
    <x v="2"/>
    <s v="NULL"/>
  </r>
  <r>
    <s v="SWF"/>
    <n v="541"/>
    <n v="44.37"/>
    <n v="50.96"/>
    <n v="-6.59"/>
    <n v="-2.97"/>
    <n v="0.52"/>
    <x v="2"/>
    <s v="NULL"/>
  </r>
  <r>
    <s v="SHV"/>
    <n v="1083"/>
    <n v="46.52"/>
    <n v="51.26"/>
    <n v="-4.74"/>
    <n v="-0.82"/>
    <n v="0.82"/>
    <x v="2"/>
    <s v="NULL"/>
  </r>
  <r>
    <s v="HPN"/>
    <n v="1730"/>
    <n v="45.66"/>
    <n v="55.83"/>
    <n v="-10.17"/>
    <n v="-1.68"/>
    <n v="5.39"/>
    <x v="2"/>
    <s v="NULL"/>
  </r>
  <r>
    <s v="GEG"/>
    <n v="1895"/>
    <n v="44.19"/>
    <n v="46.14"/>
    <n v="-1.95"/>
    <n v="-3.15"/>
    <n v="-4.3"/>
    <x v="3"/>
    <s v="NULL"/>
  </r>
  <r>
    <s v="RNO"/>
    <n v="3482"/>
    <n v="46.64"/>
    <n v="47.08"/>
    <n v="-0.44"/>
    <n v="-0.7"/>
    <n v="-3.36"/>
    <x v="3"/>
    <s v="NULL"/>
  </r>
  <r>
    <s v="MSP"/>
    <n v="21018"/>
    <n v="41.93"/>
    <n v="48.75"/>
    <n v="-6.82"/>
    <n v="-5.41"/>
    <n v="-1.69"/>
    <x v="3"/>
    <s v="NULL"/>
  </r>
  <r>
    <s v="GRK"/>
    <n v="581"/>
    <n v="47.07"/>
    <n v="47.99"/>
    <n v="-0.92"/>
    <n v="-0.27"/>
    <n v="-2.4500000000000002"/>
    <x v="3"/>
    <s v="NULL"/>
  </r>
  <r>
    <s v="MSY"/>
    <n v="5925"/>
    <n v="46.27"/>
    <n v="48.62"/>
    <n v="-2.35"/>
    <n v="-1.07"/>
    <n v="-1.82"/>
    <x v="3"/>
    <s v="NULL"/>
  </r>
  <r>
    <s v="OAK"/>
    <n v="8452"/>
    <n v="44.43"/>
    <n v="41.81"/>
    <n v="2.62"/>
    <n v="-2.91"/>
    <n v="-8.6300000000000008"/>
    <x v="3"/>
    <s v="NULL"/>
  </r>
  <r>
    <s v="HNL"/>
    <n v="5074"/>
    <n v="35.85"/>
    <n v="40.19"/>
    <n v="-4.34"/>
    <n v="-11.49"/>
    <n v="-10.25"/>
    <x v="3"/>
    <s v="NULL"/>
  </r>
  <r>
    <s v="HOU"/>
    <n v="10818"/>
    <n v="44.56"/>
    <n v="44.75"/>
    <n v="-0.19"/>
    <n v="-2.78"/>
    <n v="-5.69"/>
    <x v="3"/>
    <s v="NULL"/>
  </r>
  <r>
    <s v="HRL"/>
    <n v="711"/>
    <n v="45.79"/>
    <n v="45.69"/>
    <n v="0.1"/>
    <n v="-1.55"/>
    <n v="-4.75"/>
    <x v="3"/>
    <s v="NULL"/>
  </r>
  <r>
    <s v="OGG"/>
    <n v="1633"/>
    <n v="37.67"/>
    <n v="41"/>
    <n v="-3.33"/>
    <n v="-9.67"/>
    <n v="-9.44"/>
    <x v="3"/>
    <s v="NULL"/>
  </r>
  <r>
    <s v="IAH"/>
    <n v="30795"/>
    <n v="44.75"/>
    <n v="48.61"/>
    <n v="-3.86"/>
    <n v="-2.59"/>
    <n v="-1.83"/>
    <x v="3"/>
    <s v="NULL"/>
  </r>
  <r>
    <s v="OKC"/>
    <n v="3480"/>
    <n v="46.61"/>
    <n v="49.19"/>
    <n v="-2.58"/>
    <n v="-0.73"/>
    <n v="-1.25"/>
    <x v="3"/>
    <s v="NULL"/>
  </r>
  <r>
    <s v="SJC"/>
    <n v="6860"/>
    <n v="46.53"/>
    <n v="45.25"/>
    <n v="1.28"/>
    <n v="-0.81"/>
    <n v="-5.19"/>
    <x v="3"/>
    <s v="NULL"/>
  </r>
  <r>
    <s v="ISP"/>
    <n v="1384"/>
    <n v="45"/>
    <n v="46.84"/>
    <n v="-1.84"/>
    <n v="-2.34"/>
    <n v="-3.6"/>
    <x v="3"/>
    <s v="NULL"/>
  </r>
  <r>
    <s v="ITO"/>
    <n v="734"/>
    <n v="34.22"/>
    <n v="39.18"/>
    <n v="-4.96"/>
    <n v="-13.12"/>
    <n v="-11.26"/>
    <x v="3"/>
    <s v="NULL"/>
  </r>
  <r>
    <s v="BWI"/>
    <n v="16396"/>
    <n v="45.43"/>
    <n v="47.45"/>
    <n v="-2.02"/>
    <n v="-1.91"/>
    <n v="-2.99"/>
    <x v="3"/>
    <s v="NULL"/>
  </r>
  <r>
    <s v="SAT"/>
    <n v="6310"/>
    <n v="45.81"/>
    <n v="47.41"/>
    <n v="-1.6"/>
    <n v="-1.53"/>
    <n v="-3.03"/>
    <x v="3"/>
    <s v="NULL"/>
  </r>
  <r>
    <s v="SMF"/>
    <n v="7181"/>
    <n v="45.29"/>
    <n v="44.33"/>
    <n v="0.96"/>
    <n v="-2.0499999999999998"/>
    <n v="-6.11"/>
    <x v="3"/>
    <s v="NULL"/>
  </r>
  <r>
    <s v="SNA"/>
    <n v="5994"/>
    <n v="45.81"/>
    <n v="46.67"/>
    <n v="-0.86"/>
    <n v="-1.53"/>
    <n v="-3.77"/>
    <x v="3"/>
    <s v="NULL"/>
  </r>
  <r>
    <s v="LIH"/>
    <n v="1031"/>
    <n v="37.47"/>
    <n v="41.12"/>
    <n v="-3.65"/>
    <n v="-9.8699999999999992"/>
    <n v="-9.32"/>
    <x v="3"/>
    <s v="NULL"/>
  </r>
  <r>
    <s v="MAF"/>
    <n v="1039"/>
    <n v="45.54"/>
    <n v="46.68"/>
    <n v="-1.1399999999999999"/>
    <n v="-1.8"/>
    <n v="-3.76"/>
    <x v="3"/>
    <s v="NULL"/>
  </r>
  <r>
    <s v="CLT"/>
    <n v="21833"/>
    <n v="44.5"/>
    <n v="49.24"/>
    <n v="-4.74"/>
    <n v="-2.84"/>
    <n v="-1.2"/>
    <x v="3"/>
    <s v="NULL"/>
  </r>
  <r>
    <s v="MCI"/>
    <n v="9170"/>
    <n v="45.81"/>
    <n v="48.09"/>
    <n v="-2.2799999999999998"/>
    <n v="-1.53"/>
    <n v="-2.35"/>
    <x v="3"/>
    <s v="NULL"/>
  </r>
  <r>
    <s v="COS"/>
    <n v="2142"/>
    <n v="47.06"/>
    <n v="50.05"/>
    <n v="-2.99"/>
    <n v="-0.28000000000000003"/>
    <n v="-0.39"/>
    <x v="3"/>
    <s v="NULL"/>
  </r>
  <r>
    <s v="CRP"/>
    <n v="657"/>
    <n v="44.4"/>
    <n v="46.17"/>
    <n v="-1.77"/>
    <n v="-2.94"/>
    <n v="-4.2699999999999996"/>
    <x v="3"/>
    <s v="NULL"/>
  </r>
  <r>
    <s v="CVG"/>
    <n v="15186"/>
    <n v="42.93"/>
    <n v="48.52"/>
    <n v="-5.59"/>
    <n v="-4.41"/>
    <n v="-1.92"/>
    <x v="3"/>
    <s v="NULL"/>
  </r>
  <r>
    <s v="ATL"/>
    <n v="82083"/>
    <n v="45.15"/>
    <n v="48.57"/>
    <n v="-3.42"/>
    <n v="-2.19"/>
    <n v="-1.87"/>
    <x v="3"/>
    <s v="NULL"/>
  </r>
  <r>
    <s v="DAL"/>
    <n v="10049"/>
    <n v="41.9"/>
    <n v="43.35"/>
    <n v="-1.45"/>
    <n v="-5.44"/>
    <n v="-7.09"/>
    <x v="3"/>
    <s v="NULL"/>
  </r>
  <r>
    <s v="TUL"/>
    <n v="3231"/>
    <n v="46.06"/>
    <n v="48.86"/>
    <n v="-2.8"/>
    <n v="-1.28"/>
    <n v="-1.58"/>
    <x v="3"/>
    <s v="NULL"/>
  </r>
  <r>
    <s v="DEN"/>
    <n v="44194"/>
    <n v="45.01"/>
    <n v="47.73"/>
    <n v="-2.72"/>
    <n v="-2.33"/>
    <n v="-2.71"/>
    <x v="3"/>
    <s v="NULL"/>
  </r>
  <r>
    <s v="DFW"/>
    <n v="59224"/>
    <n v="45.44"/>
    <n v="48"/>
    <n v="-2.56"/>
    <n v="-1.9"/>
    <n v="-2.44"/>
    <x v="3"/>
    <s v="NULL"/>
  </r>
  <r>
    <s v="MDW"/>
    <n v="15326"/>
    <n v="46.56"/>
    <n v="47.65"/>
    <n v="-1.0900000000000001"/>
    <n v="-0.78"/>
    <n v="-2.79"/>
    <x v="3"/>
    <s v="NULL"/>
  </r>
  <r>
    <s v="STL"/>
    <n v="10034"/>
    <n v="46.95"/>
    <n v="49.26"/>
    <n v="-2.31"/>
    <n v="-0.39"/>
    <n v="-1.18"/>
    <x v="3"/>
    <s v="NULL"/>
  </r>
  <r>
    <s v="ELP"/>
    <n v="2607"/>
    <n v="45.4"/>
    <n v="44.98"/>
    <n v="0.42"/>
    <n v="-1.94"/>
    <n v="-5.46"/>
    <x v="3"/>
    <s v="NULL"/>
  </r>
  <r>
    <s v="PSP"/>
    <n v="1667"/>
    <n v="45.1"/>
    <n v="47.7"/>
    <n v="-2.6"/>
    <n v="-2.2400000000000002"/>
    <n v="-2.74"/>
    <x v="3"/>
    <s v="NULL"/>
  </r>
  <r>
    <s v="FAI"/>
    <n v="615"/>
    <n v="43.49"/>
    <n v="44.52"/>
    <n v="-1.03"/>
    <n v="-3.85"/>
    <n v="-5.92"/>
    <x v="3"/>
    <s v="NULL"/>
  </r>
  <r>
    <s v="SEA"/>
    <n v="16516"/>
    <n v="44.15"/>
    <n v="45.65"/>
    <n v="-1.5"/>
    <n v="-3.19"/>
    <n v="-4.79"/>
    <x v="3"/>
    <s v="NULL"/>
  </r>
  <r>
    <s v="PHX"/>
    <n v="29551"/>
    <n v="45.27"/>
    <n v="44.8"/>
    <n v="0.47"/>
    <n v="-2.0699999999999998"/>
    <n v="-5.64"/>
    <x v="3"/>
    <s v="NULL"/>
  </r>
  <r>
    <s v="SLC"/>
    <n v="16007"/>
    <n v="43.69"/>
    <n v="46.75"/>
    <n v="-3.06"/>
    <n v="-3.65"/>
    <n v="-3.69"/>
    <x v="3"/>
    <s v="NULL"/>
  </r>
  <r>
    <s v="AUS"/>
    <n v="6822"/>
    <n v="45.24"/>
    <n v="47.47"/>
    <n v="-2.23"/>
    <n v="-2.1"/>
    <n v="-2.97"/>
    <x v="3"/>
    <s v="NULL"/>
  </r>
  <r>
    <s v="JNU"/>
    <n v="889"/>
    <n v="46.8"/>
    <n v="48.74"/>
    <n v="-1.94"/>
    <n v="-0.54"/>
    <n v="-1.7"/>
    <x v="3"/>
    <s v="NULL"/>
  </r>
  <r>
    <s v="KOA"/>
    <n v="1182"/>
    <n v="37.04"/>
    <n v="42.55"/>
    <n v="-5.51"/>
    <n v="-10.3"/>
    <n v="-7.89"/>
    <x v="3"/>
    <s v="NULL"/>
  </r>
  <r>
    <s v="SAN"/>
    <n v="13383"/>
    <n v="45.77"/>
    <n v="45.87"/>
    <n v="-0.1"/>
    <n v="-1.57"/>
    <n v="-4.57"/>
    <x v="3"/>
    <s v="NULL"/>
  </r>
  <r>
    <s v="BNA"/>
    <n v="9617"/>
    <n v="47.15"/>
    <n v="48.94"/>
    <n v="-1.79"/>
    <n v="-0.19"/>
    <n v="-1.5"/>
    <x v="3"/>
    <s v="NULL"/>
  </r>
  <r>
    <s v="LAX"/>
    <n v="31769"/>
    <n v="46.85"/>
    <n v="46.78"/>
    <n v="7.0000000000000007E-2"/>
    <n v="-0.49"/>
    <n v="-3.66"/>
    <x v="3"/>
    <s v="NULL"/>
  </r>
  <r>
    <s v="ABQ"/>
    <n v="5856"/>
    <n v="45.04"/>
    <n v="45.26"/>
    <n v="-0.22"/>
    <n v="-2.2999999999999998"/>
    <n v="-5.18"/>
    <x v="3"/>
    <s v="NULL"/>
  </r>
  <r>
    <s v="PDX"/>
    <n v="7026"/>
    <n v="46.81"/>
    <n v="46.4"/>
    <n v="0.41"/>
    <n v="-0.53"/>
    <n v="-4.04"/>
    <x v="3"/>
    <s v="NULL"/>
  </r>
  <r>
    <s v="LBB"/>
    <n v="1273"/>
    <n v="45.46"/>
    <n v="45.95"/>
    <n v="-0.49"/>
    <n v="-1.88"/>
    <n v="-4.49"/>
    <x v="3"/>
    <s v="NULL"/>
  </r>
  <r>
    <s v="ONT"/>
    <n v="4755"/>
    <n v="45.62"/>
    <n v="45.32"/>
    <n v="0.3"/>
    <n v="-1.72"/>
    <n v="-5.12"/>
    <x v="3"/>
    <s v="NULL"/>
  </r>
  <r>
    <s v="JAN"/>
    <n v="1675"/>
    <n v="46.73"/>
    <n v="49.97"/>
    <n v="-3.24"/>
    <n v="-0.61"/>
    <n v="-0.47"/>
    <x v="3"/>
    <s v="NULL"/>
  </r>
  <r>
    <s v="AMA"/>
    <n v="998"/>
    <n v="46.85"/>
    <n v="47.07"/>
    <n v="-0.22"/>
    <n v="-0.49"/>
    <n v="-3.37"/>
    <x v="3"/>
    <s v="NULL"/>
  </r>
  <r>
    <s v="ANC"/>
    <n v="2660"/>
    <n v="43.37"/>
    <n v="43.58"/>
    <n v="-0.21"/>
    <n v="-3.97"/>
    <n v="-6.86"/>
    <x v="3"/>
    <s v="NULL"/>
  </r>
  <r>
    <s v="TUS"/>
    <n v="3104"/>
    <n v="44.99"/>
    <n v="45.93"/>
    <n v="-0.94"/>
    <n v="-2.35"/>
    <n v="-4.51"/>
    <x v="3"/>
    <s v="N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F6510-A485-0E47-8AEA-C4029E029C2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H3:AI10" firstHeaderRow="1" firstDataRow="1" firstDataCol="1"/>
  <pivotFields count="3">
    <pivotField axis="axisRow" showAll="0" sortType="ascending">
      <items count="7">
        <item x="2"/>
        <item x="3"/>
        <item x="0"/>
        <item x="1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7"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7">
    <i>
      <x v="5"/>
    </i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Average of Overall_avg_delay" fld="2" subtotal="average" baseField="0" baseItem="0"/>
  </dataFields>
  <chartFormats count="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A2B26-8A50-6346-B7F9-46683AA8911E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L3:BO24" firstHeaderRow="0" firstDataRow="1" firstDataCol="1"/>
  <pivotFields count="9">
    <pivotField showAll="0"/>
    <pivotField axis="axisRow" showAll="0" sortType="descending">
      <items count="21">
        <item x="7"/>
        <item x="6"/>
        <item x="19"/>
        <item x="15"/>
        <item x="0"/>
        <item x="9"/>
        <item x="13"/>
        <item x="8"/>
        <item x="17"/>
        <item x="11"/>
        <item x="18"/>
        <item x="10"/>
        <item x="14"/>
        <item x="5"/>
        <item x="4"/>
        <item x="1"/>
        <item x="12"/>
        <item x="16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dataField="1" showAll="0"/>
    <pivotField showAll="0"/>
    <pivotField showAll="0"/>
    <pivotField dataField="1" showAll="0"/>
    <pivotField showAll="0"/>
  </pivotFields>
  <rowFields count="1">
    <field x="1"/>
  </rowFields>
  <rowItems count="21">
    <i>
      <x v="4"/>
    </i>
    <i>
      <x v="15"/>
    </i>
    <i>
      <x v="19"/>
    </i>
    <i>
      <x v="18"/>
    </i>
    <i>
      <x v="14"/>
    </i>
    <i>
      <x v="13"/>
    </i>
    <i>
      <x v="1"/>
    </i>
    <i>
      <x/>
    </i>
    <i>
      <x v="7"/>
    </i>
    <i>
      <x v="5"/>
    </i>
    <i>
      <x v="11"/>
    </i>
    <i>
      <x v="9"/>
    </i>
    <i>
      <x v="16"/>
    </i>
    <i>
      <x v="6"/>
    </i>
    <i>
      <x v="12"/>
    </i>
    <i>
      <x v="3"/>
    </i>
    <i>
      <x v="17"/>
    </i>
    <i>
      <x v="8"/>
    </i>
    <i>
      <x v="10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Flights" fld="2" baseField="0" baseItem="0"/>
    <dataField name="Average of Severe_Delay_Rate" fld="4" subtotal="average" baseField="0" baseItem="0"/>
    <dataField name="Average of Avg_Delay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620F9-0FA0-F242-A61E-4FAF109BE8EB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3:AG8" firstHeaderRow="0" firstDataRow="1" firstDataCol="1"/>
  <pivotFields count="9">
    <pivotField dataField="1"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Airport" fld="0" subtotal="count" baseField="0" baseItem="0"/>
    <dataField name="Average of Avg_Dep_Delay" fld="2" subtotal="average" baseField="0" baseItem="0" numFmtId="2"/>
    <dataField name="Average of Avg_Arr_Delay" fld="3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3_route_recovery" connectionId="7" xr16:uid="{D7EC9A75-2D11-4745-B4ED-0E49422E2795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2_route_symmetry" connectionId="6" xr16:uid="{A6C1E006-093E-CA4E-8A7F-BC367B1F638C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_consistent_routes" connectionId="1" xr16:uid="{A64258E8-CB1E-6D47-9A53-AAE46F28F5ED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2_airline_dominant_cause" connectionId="4" xr16:uid="{33AF0C52-9AEC-3D47-8FD2-CAD1FD0D1656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6_airline_severity" connectionId="10" xr16:uid="{ECDFE495-73C9-A946-825E-6A95B12423EF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5_airline_mom_trend" connectionId="9" xr16:uid="{7F5F8393-D699-9D49-9DFC-B5DE8D506DF4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4_airline_consistency_1" connectionId="8" xr16:uid="{2739D04D-B867-CD43-A15C-2FE4BC9F587F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8_airport_dep_arr_profile" connectionId="12" xr16:uid="{EF1A4C0E-99A7-6448-A797-249A098312B4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7_airport_volume_vs_delay" connectionId="11" xr16:uid="{2678EEE3-B2F6-0743-8088-E9B995C8084A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0_monthly_rolling_trend" connectionId="2" xr16:uid="{10424C90-B756-D043-A038-D8D3DA56D47D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9_departure_hour_risk" connectionId="13" xr16:uid="{D3E6AC74-FB35-FB40-8A8F-05E6982E2021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2_airline_dominant_cause" connectionId="5" xr16:uid="{0DC00C21-1028-224F-AFF9-7BB7D1EFB073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1_delay_cause_totals" connectionId="3" xr16:uid="{181D00D1-7C8C-A045-84F1-5146B638705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Relationship Id="rId6" Type="http://schemas.openxmlformats.org/officeDocument/2006/relationships/queryTable" Target="../queryTables/queryTable7.xml"/><Relationship Id="rId5" Type="http://schemas.openxmlformats.org/officeDocument/2006/relationships/queryTable" Target="../queryTables/queryTable6.xml"/><Relationship Id="rId4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Relationship Id="rId4" Type="http://schemas.openxmlformats.org/officeDocument/2006/relationships/queryTable" Target="../queryTables/query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1.xml"/><Relationship Id="rId2" Type="http://schemas.openxmlformats.org/officeDocument/2006/relationships/queryTable" Target="../queryTables/queryTable10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3.xml"/><Relationship Id="rId2" Type="http://schemas.openxmlformats.org/officeDocument/2006/relationships/queryTable" Target="../queryTables/queryTable12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DB17-6E56-9C40-A057-BC1ACB8C9674}">
  <dimension ref="A1:P22"/>
  <sheetViews>
    <sheetView zoomScale="125" workbookViewId="0">
      <selection activeCell="G17" sqref="G17"/>
    </sheetView>
  </sheetViews>
  <sheetFormatPr baseColWidth="10" defaultRowHeight="16" x14ac:dyDescent="0.2"/>
  <cols>
    <col min="1" max="1" width="25.83203125" bestFit="1" customWidth="1"/>
    <col min="2" max="2" width="40.6640625" bestFit="1" customWidth="1"/>
    <col min="3" max="3" width="27.33203125" bestFit="1" customWidth="1"/>
  </cols>
  <sheetData>
    <row r="1" spans="1:16" ht="24" x14ac:dyDescent="0.3">
      <c r="A1" s="66" t="s">
        <v>509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5" spans="1:16" ht="19" x14ac:dyDescent="0.25">
      <c r="A5" s="69" t="s">
        <v>510</v>
      </c>
      <c r="B5" s="69" t="s">
        <v>500</v>
      </c>
      <c r="C5" s="69" t="s">
        <v>511</v>
      </c>
    </row>
    <row r="6" spans="1:16" x14ac:dyDescent="0.2">
      <c r="A6" s="70" t="s">
        <v>512</v>
      </c>
      <c r="B6" s="73">
        <v>1153046</v>
      </c>
      <c r="C6" s="71" t="s">
        <v>540</v>
      </c>
    </row>
    <row r="7" spans="1:16" x14ac:dyDescent="0.2">
      <c r="A7" s="59" t="s">
        <v>513</v>
      </c>
      <c r="B7" s="67">
        <v>163</v>
      </c>
      <c r="C7" s="4" t="s">
        <v>543</v>
      </c>
    </row>
    <row r="8" spans="1:16" x14ac:dyDescent="0.2">
      <c r="A8" s="70" t="s">
        <v>514</v>
      </c>
      <c r="B8" s="71">
        <v>20</v>
      </c>
      <c r="C8" s="71" t="s">
        <v>544</v>
      </c>
    </row>
    <row r="9" spans="1:16" x14ac:dyDescent="0.2">
      <c r="A9" s="59" t="s">
        <v>515</v>
      </c>
      <c r="B9" s="67" t="s">
        <v>528</v>
      </c>
      <c r="C9" s="4" t="s">
        <v>540</v>
      </c>
    </row>
    <row r="10" spans="1:16" x14ac:dyDescent="0.2">
      <c r="A10" s="70" t="s">
        <v>516</v>
      </c>
      <c r="B10" s="71" t="s">
        <v>529</v>
      </c>
      <c r="C10" s="71" t="s">
        <v>540</v>
      </c>
    </row>
    <row r="11" spans="1:16" x14ac:dyDescent="0.2">
      <c r="A11" s="59" t="s">
        <v>517</v>
      </c>
      <c r="B11" s="67" t="s">
        <v>530</v>
      </c>
      <c r="C11" s="4" t="s">
        <v>545</v>
      </c>
    </row>
    <row r="12" spans="1:16" x14ac:dyDescent="0.2">
      <c r="A12" s="70" t="s">
        <v>518</v>
      </c>
      <c r="B12" s="71" t="s">
        <v>531</v>
      </c>
      <c r="C12" s="71" t="s">
        <v>540</v>
      </c>
    </row>
    <row r="13" spans="1:16" x14ac:dyDescent="0.2">
      <c r="A13" s="59" t="s">
        <v>519</v>
      </c>
      <c r="B13" s="67" t="s">
        <v>532</v>
      </c>
      <c r="C13" s="4" t="s">
        <v>540</v>
      </c>
    </row>
    <row r="14" spans="1:16" x14ac:dyDescent="0.2">
      <c r="A14" s="72" t="s">
        <v>533</v>
      </c>
      <c r="B14" s="71">
        <v>2008</v>
      </c>
      <c r="C14" s="71" t="s">
        <v>540</v>
      </c>
    </row>
    <row r="15" spans="1:16" x14ac:dyDescent="0.2">
      <c r="A15" s="59" t="s">
        <v>520</v>
      </c>
      <c r="B15" s="68">
        <f>(SUMIF(Delay_Causes_Analysis!$B$4:$B$8,"Late Aircraft Delay",Delay_Causes_Analysis!$C$4:$C$8)+SUMIF(Delay_Causes_Analysis!$B$4:$B$8,"Carrier Delay",Delay_Causes_Analysis!$C$4:$C$8))/SUM(Delay_Causes_Analysis!$C$4:$C$8)</f>
        <v>0.70625486130464521</v>
      </c>
      <c r="C15" s="4" t="s">
        <v>546</v>
      </c>
    </row>
    <row r="16" spans="1:16" x14ac:dyDescent="0.2">
      <c r="A16" s="70" t="s">
        <v>521</v>
      </c>
      <c r="B16" s="71" t="s">
        <v>534</v>
      </c>
      <c r="C16" s="71" t="s">
        <v>547</v>
      </c>
    </row>
    <row r="17" spans="1:3" x14ac:dyDescent="0.2">
      <c r="A17" s="59" t="s">
        <v>522</v>
      </c>
      <c r="B17" s="67" t="s">
        <v>535</v>
      </c>
      <c r="C17" s="4" t="s">
        <v>547</v>
      </c>
    </row>
    <row r="18" spans="1:3" x14ac:dyDescent="0.2">
      <c r="A18" s="70" t="s">
        <v>523</v>
      </c>
      <c r="B18" s="71" t="s">
        <v>536</v>
      </c>
      <c r="C18" s="71" t="s">
        <v>548</v>
      </c>
    </row>
    <row r="19" spans="1:3" x14ac:dyDescent="0.2">
      <c r="A19" s="59" t="s">
        <v>524</v>
      </c>
      <c r="B19" s="67" t="s">
        <v>537</v>
      </c>
      <c r="C19" s="4" t="s">
        <v>548</v>
      </c>
    </row>
    <row r="20" spans="1:3" x14ac:dyDescent="0.2">
      <c r="A20" s="70" t="s">
        <v>525</v>
      </c>
      <c r="B20" s="71" t="s">
        <v>541</v>
      </c>
      <c r="C20" s="71" t="s">
        <v>549</v>
      </c>
    </row>
    <row r="21" spans="1:3" x14ac:dyDescent="0.2">
      <c r="A21" s="59" t="s">
        <v>526</v>
      </c>
      <c r="B21" s="67" t="s">
        <v>538</v>
      </c>
      <c r="C21" s="4" t="s">
        <v>542</v>
      </c>
    </row>
    <row r="22" spans="1:3" x14ac:dyDescent="0.2">
      <c r="A22" s="70" t="s">
        <v>527</v>
      </c>
      <c r="B22" s="71" t="s">
        <v>539</v>
      </c>
      <c r="C22" s="71" t="s">
        <v>550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1514-A05A-014E-953D-43550F87821F}">
  <dimension ref="A1:AW56"/>
  <sheetViews>
    <sheetView zoomScale="113" zoomScaleNormal="160" workbookViewId="0">
      <selection activeCell="AR20" sqref="AR20"/>
    </sheetView>
  </sheetViews>
  <sheetFormatPr baseColWidth="10" defaultRowHeight="16" x14ac:dyDescent="0.2"/>
  <cols>
    <col min="1" max="1" width="11" style="4" bestFit="1" customWidth="1"/>
    <col min="2" max="2" width="18.5" style="3" bestFit="1" customWidth="1"/>
    <col min="3" max="3" width="18.33203125" style="3" bestFit="1" customWidth="1"/>
    <col min="7" max="7" width="10.83203125" customWidth="1"/>
    <col min="8" max="8" width="11" bestFit="1" customWidth="1"/>
    <col min="9" max="9" width="17.6640625" style="26" bestFit="1" customWidth="1"/>
    <col min="10" max="10" width="23.1640625" bestFit="1" customWidth="1"/>
    <col min="11" max="11" width="17.83203125" bestFit="1" customWidth="1"/>
    <col min="12" max="12" width="23.5" bestFit="1" customWidth="1"/>
    <col min="13" max="14" width="13.83203125" bestFit="1" customWidth="1"/>
    <col min="15" max="15" width="17.83203125" bestFit="1" customWidth="1"/>
    <col min="16" max="16" width="17.6640625" bestFit="1" customWidth="1"/>
    <col min="17" max="17" width="17.1640625" bestFit="1" customWidth="1"/>
    <col min="19" max="19" width="10.83203125" style="27"/>
    <col min="20" max="20" width="17.6640625" bestFit="1" customWidth="1"/>
    <col min="21" max="21" width="23.1640625" style="4" bestFit="1" customWidth="1"/>
    <col min="22" max="22" width="17.83203125" bestFit="1" customWidth="1"/>
    <col min="23" max="23" width="23.1640625" bestFit="1" customWidth="1"/>
    <col min="24" max="24" width="15.1640625" bestFit="1" customWidth="1"/>
    <col min="25" max="25" width="14.5" bestFit="1" customWidth="1"/>
    <col min="26" max="26" width="13.83203125" bestFit="1" customWidth="1"/>
    <col min="27" max="27" width="12.6640625" bestFit="1" customWidth="1"/>
    <col min="28" max="28" width="15.83203125" bestFit="1" customWidth="1"/>
    <col min="29" max="29" width="15.33203125" bestFit="1" customWidth="1"/>
    <col min="30" max="30" width="12.1640625" bestFit="1" customWidth="1"/>
    <col min="32" max="32" width="10.83203125" style="27"/>
    <col min="34" max="34" width="13" bestFit="1" customWidth="1"/>
    <col min="35" max="35" width="25.1640625" bestFit="1" customWidth="1"/>
    <col min="36" max="36" width="21.5" bestFit="1" customWidth="1"/>
    <col min="39" max="39" width="18.1640625" bestFit="1" customWidth="1"/>
    <col min="42" max="42" width="22" customWidth="1"/>
    <col min="43" max="43" width="26.6640625" bestFit="1" customWidth="1"/>
    <col min="49" max="49" width="12.6640625" customWidth="1"/>
  </cols>
  <sheetData>
    <row r="1" spans="1:49" ht="19" x14ac:dyDescent="0.25">
      <c r="A1" s="33" t="s">
        <v>97</v>
      </c>
      <c r="B1" s="33"/>
      <c r="C1" s="33"/>
      <c r="D1" s="33"/>
      <c r="E1" s="33"/>
      <c r="F1" s="33"/>
      <c r="G1" s="33"/>
      <c r="H1" s="33"/>
      <c r="I1" s="25"/>
      <c r="J1" s="2"/>
      <c r="K1" s="31" t="s">
        <v>96</v>
      </c>
      <c r="L1" s="32"/>
      <c r="M1" s="32"/>
      <c r="N1" s="32"/>
      <c r="O1" s="32"/>
      <c r="P1" s="32"/>
      <c r="Q1" s="32"/>
      <c r="V1" s="31" t="s">
        <v>98</v>
      </c>
      <c r="W1" s="32"/>
      <c r="X1" s="32"/>
      <c r="Y1" s="32"/>
      <c r="Z1" s="32"/>
      <c r="AA1" s="32"/>
      <c r="AB1" s="32"/>
      <c r="AC1" s="32"/>
      <c r="AH1" s="31" t="s">
        <v>102</v>
      </c>
      <c r="AI1" s="32"/>
      <c r="AJ1" s="32"/>
      <c r="AK1" s="32"/>
      <c r="AW1" s="16"/>
    </row>
    <row r="2" spans="1:49" ht="19" customHeight="1" x14ac:dyDescent="0.25">
      <c r="A2" s="12"/>
      <c r="B2" s="12"/>
      <c r="C2" s="12"/>
      <c r="D2" s="12"/>
      <c r="E2" s="12"/>
      <c r="AL2" s="17"/>
    </row>
    <row r="3" spans="1:49" ht="19" customHeight="1" x14ac:dyDescent="0.25">
      <c r="A3" s="5" t="s">
        <v>80</v>
      </c>
      <c r="B3" s="6" t="s">
        <v>81</v>
      </c>
      <c r="C3" s="6" t="s">
        <v>82</v>
      </c>
      <c r="K3" s="5" t="s">
        <v>83</v>
      </c>
      <c r="L3" s="5" t="s">
        <v>84</v>
      </c>
      <c r="M3" s="5" t="s">
        <v>85</v>
      </c>
      <c r="N3" s="5" t="s">
        <v>86</v>
      </c>
      <c r="O3" s="5" t="s">
        <v>87</v>
      </c>
      <c r="P3" s="5" t="s">
        <v>88</v>
      </c>
      <c r="Q3" s="5" t="s">
        <v>89</v>
      </c>
      <c r="V3" s="23" t="s">
        <v>83</v>
      </c>
      <c r="W3" s="23" t="s">
        <v>84</v>
      </c>
      <c r="X3" s="5" t="s">
        <v>90</v>
      </c>
      <c r="Y3" s="23" t="s">
        <v>91</v>
      </c>
      <c r="Z3" s="5" t="s">
        <v>92</v>
      </c>
      <c r="AA3" s="5" t="s">
        <v>93</v>
      </c>
      <c r="AB3" s="5" t="s">
        <v>94</v>
      </c>
      <c r="AC3" s="5" t="s">
        <v>95</v>
      </c>
      <c r="AH3" s="14" t="s">
        <v>99</v>
      </c>
      <c r="AI3" t="s">
        <v>101</v>
      </c>
      <c r="AL3" s="18" t="s">
        <v>103</v>
      </c>
      <c r="AM3" s="19"/>
      <c r="AN3" s="19"/>
      <c r="AO3" s="19"/>
      <c r="AP3" s="1"/>
      <c r="AQ3" s="20" t="s">
        <v>133</v>
      </c>
      <c r="AR3" s="21" t="s">
        <v>132</v>
      </c>
    </row>
    <row r="4" spans="1:49" x14ac:dyDescent="0.2">
      <c r="A4" s="4" t="s">
        <v>104</v>
      </c>
      <c r="B4" s="3">
        <v>2</v>
      </c>
      <c r="C4" s="3">
        <v>142</v>
      </c>
      <c r="K4" s="4" t="s">
        <v>34</v>
      </c>
      <c r="L4" s="4" t="s">
        <v>42</v>
      </c>
      <c r="M4" s="4">
        <v>21.67</v>
      </c>
      <c r="N4" s="4">
        <v>114</v>
      </c>
      <c r="O4" s="4">
        <v>92.33</v>
      </c>
      <c r="P4" s="4" t="s">
        <v>6</v>
      </c>
      <c r="Q4" s="4" t="s">
        <v>110</v>
      </c>
      <c r="V4" s="24" t="s">
        <v>143</v>
      </c>
      <c r="W4" s="24" t="s">
        <v>70</v>
      </c>
      <c r="X4" s="4">
        <v>71.11</v>
      </c>
      <c r="Y4" s="24">
        <v>54.62</v>
      </c>
      <c r="Z4" s="4">
        <v>16.48</v>
      </c>
      <c r="AA4" s="4">
        <v>85</v>
      </c>
      <c r="AB4" s="4" t="s">
        <v>51</v>
      </c>
      <c r="AC4" s="4" t="s">
        <v>52</v>
      </c>
      <c r="AH4" s="13" t="s">
        <v>5</v>
      </c>
      <c r="AI4" s="15">
        <v>128.5</v>
      </c>
      <c r="AL4" s="19"/>
      <c r="AM4" s="19"/>
      <c r="AN4" s="19"/>
      <c r="AO4" s="19"/>
      <c r="AP4" s="1"/>
      <c r="AQ4" s="22"/>
      <c r="AR4" s="22"/>
    </row>
    <row r="5" spans="1:49" x14ac:dyDescent="0.2">
      <c r="A5" s="4" t="s">
        <v>105</v>
      </c>
      <c r="B5" s="3">
        <v>2</v>
      </c>
      <c r="C5" s="3">
        <v>138</v>
      </c>
      <c r="K5" s="4" t="s">
        <v>24</v>
      </c>
      <c r="L5" s="4" t="s">
        <v>43</v>
      </c>
      <c r="M5" s="4">
        <v>49.5</v>
      </c>
      <c r="N5" s="4">
        <v>130</v>
      </c>
      <c r="O5" s="4">
        <v>80.5</v>
      </c>
      <c r="P5" s="4" t="s">
        <v>6</v>
      </c>
      <c r="Q5" s="4" t="s">
        <v>111</v>
      </c>
      <c r="V5" s="24" t="s">
        <v>56</v>
      </c>
      <c r="W5" s="24" t="s">
        <v>71</v>
      </c>
      <c r="X5" s="4">
        <v>64.22</v>
      </c>
      <c r="Y5" s="24">
        <v>50.65</v>
      </c>
      <c r="Z5" s="4">
        <v>13.57</v>
      </c>
      <c r="AA5" s="4">
        <v>54</v>
      </c>
      <c r="AB5" s="4" t="s">
        <v>51</v>
      </c>
      <c r="AC5" s="4" t="s">
        <v>52</v>
      </c>
      <c r="AH5" s="13" t="s">
        <v>4</v>
      </c>
      <c r="AI5" s="15">
        <v>129</v>
      </c>
      <c r="AL5" s="19"/>
      <c r="AM5" s="19"/>
      <c r="AN5" s="19"/>
      <c r="AO5" s="19"/>
      <c r="AP5" s="1"/>
      <c r="AQ5" s="22" t="s">
        <v>6</v>
      </c>
      <c r="AR5" s="22">
        <v>20</v>
      </c>
    </row>
    <row r="6" spans="1:49" x14ac:dyDescent="0.2">
      <c r="A6" s="4" t="s">
        <v>106</v>
      </c>
      <c r="B6" s="3">
        <v>2</v>
      </c>
      <c r="C6" s="3">
        <v>131</v>
      </c>
      <c r="K6" s="4" t="s">
        <v>9</v>
      </c>
      <c r="L6" s="4" t="s">
        <v>26</v>
      </c>
      <c r="M6" s="4">
        <v>96</v>
      </c>
      <c r="N6" s="4">
        <v>35</v>
      </c>
      <c r="O6" s="4">
        <v>61</v>
      </c>
      <c r="P6" s="4" t="s">
        <v>6</v>
      </c>
      <c r="Q6" s="4" t="s">
        <v>112</v>
      </c>
      <c r="V6" s="24" t="s">
        <v>57</v>
      </c>
      <c r="W6" s="24" t="s">
        <v>72</v>
      </c>
      <c r="X6" s="4">
        <v>65.989999999999995</v>
      </c>
      <c r="Y6" s="24">
        <v>52.85</v>
      </c>
      <c r="Z6" s="4">
        <v>13.14</v>
      </c>
      <c r="AA6" s="4">
        <v>92</v>
      </c>
      <c r="AB6" s="4" t="s">
        <v>51</v>
      </c>
      <c r="AC6" s="4" t="s">
        <v>52</v>
      </c>
      <c r="AH6" s="13" t="s">
        <v>3</v>
      </c>
      <c r="AI6" s="15">
        <v>130.25</v>
      </c>
      <c r="AL6" s="19"/>
      <c r="AM6" s="19"/>
      <c r="AN6" s="19"/>
      <c r="AO6" s="19"/>
      <c r="AP6" s="1"/>
      <c r="AQ6" s="22" t="s">
        <v>130</v>
      </c>
      <c r="AR6" s="22">
        <v>0</v>
      </c>
    </row>
    <row r="7" spans="1:49" x14ac:dyDescent="0.2">
      <c r="A7" s="4" t="s">
        <v>107</v>
      </c>
      <c r="B7" s="3">
        <v>2</v>
      </c>
      <c r="C7" s="3">
        <v>130.25</v>
      </c>
      <c r="K7" s="4" t="s">
        <v>35</v>
      </c>
      <c r="L7" s="4" t="s">
        <v>28</v>
      </c>
      <c r="M7" s="4">
        <v>58</v>
      </c>
      <c r="N7" s="4">
        <v>116</v>
      </c>
      <c r="O7" s="4">
        <v>58</v>
      </c>
      <c r="P7" s="4" t="s">
        <v>6</v>
      </c>
      <c r="Q7" s="4" t="s">
        <v>113</v>
      </c>
      <c r="V7" s="24" t="s">
        <v>56</v>
      </c>
      <c r="W7" s="24" t="s">
        <v>73</v>
      </c>
      <c r="X7" s="4">
        <v>54.88</v>
      </c>
      <c r="Y7" s="24">
        <v>43.02</v>
      </c>
      <c r="Z7" s="4">
        <v>11.86</v>
      </c>
      <c r="AA7" s="4">
        <v>65</v>
      </c>
      <c r="AB7" s="4" t="s">
        <v>51</v>
      </c>
      <c r="AC7" s="4" t="s">
        <v>52</v>
      </c>
      <c r="AH7" s="13" t="s">
        <v>2</v>
      </c>
      <c r="AI7" s="15">
        <v>131</v>
      </c>
      <c r="AL7" s="19"/>
      <c r="AM7" s="19"/>
      <c r="AN7" s="19"/>
      <c r="AO7" s="19"/>
      <c r="AP7" s="1"/>
      <c r="AQ7" s="22" t="s">
        <v>131</v>
      </c>
      <c r="AR7" s="22">
        <v>0</v>
      </c>
    </row>
    <row r="8" spans="1:49" x14ac:dyDescent="0.2">
      <c r="A8" s="4" t="s">
        <v>108</v>
      </c>
      <c r="B8" s="3">
        <v>2</v>
      </c>
      <c r="C8" s="3">
        <v>129</v>
      </c>
      <c r="K8" s="4" t="s">
        <v>13</v>
      </c>
      <c r="L8" s="4" t="s">
        <v>44</v>
      </c>
      <c r="M8" s="4">
        <v>25</v>
      </c>
      <c r="N8" s="4">
        <v>82</v>
      </c>
      <c r="O8" s="4">
        <v>57</v>
      </c>
      <c r="P8" s="4" t="s">
        <v>6</v>
      </c>
      <c r="Q8" s="4" t="s">
        <v>114</v>
      </c>
      <c r="V8" s="24" t="s">
        <v>56</v>
      </c>
      <c r="W8" s="24" t="s">
        <v>74</v>
      </c>
      <c r="X8" s="4">
        <v>61.54</v>
      </c>
      <c r="Y8" s="24">
        <v>49.71</v>
      </c>
      <c r="Z8" s="4">
        <v>11.82</v>
      </c>
      <c r="AA8" s="4">
        <v>84</v>
      </c>
      <c r="AB8" s="4" t="s">
        <v>51</v>
      </c>
      <c r="AC8" s="4" t="s">
        <v>52</v>
      </c>
      <c r="AH8" s="13" t="s">
        <v>1</v>
      </c>
      <c r="AI8" s="15">
        <v>138</v>
      </c>
      <c r="AL8" s="19"/>
      <c r="AM8" s="19"/>
      <c r="AN8" s="19"/>
      <c r="AO8" s="19"/>
      <c r="AP8" s="1"/>
    </row>
    <row r="9" spans="1:49" x14ac:dyDescent="0.2">
      <c r="A9" s="4" t="s">
        <v>109</v>
      </c>
      <c r="B9" s="3">
        <v>2</v>
      </c>
      <c r="C9" s="3">
        <v>128.5</v>
      </c>
      <c r="K9" s="4" t="s">
        <v>36</v>
      </c>
      <c r="L9" s="4" t="s">
        <v>45</v>
      </c>
      <c r="M9" s="4">
        <v>22.83</v>
      </c>
      <c r="N9" s="4">
        <v>79</v>
      </c>
      <c r="O9" s="4">
        <v>56.17</v>
      </c>
      <c r="P9" s="4" t="s">
        <v>6</v>
      </c>
      <c r="Q9" s="4" t="s">
        <v>115</v>
      </c>
      <c r="V9" s="24" t="s">
        <v>58</v>
      </c>
      <c r="W9" s="24" t="s">
        <v>75</v>
      </c>
      <c r="X9" s="4">
        <v>55.36</v>
      </c>
      <c r="Y9" s="24">
        <v>43.88</v>
      </c>
      <c r="Z9" s="4">
        <v>11.48</v>
      </c>
      <c r="AA9" s="4">
        <v>56</v>
      </c>
      <c r="AB9" s="4" t="s">
        <v>51</v>
      </c>
      <c r="AC9" s="4" t="s">
        <v>52</v>
      </c>
      <c r="AH9" s="13" t="s">
        <v>0</v>
      </c>
      <c r="AI9" s="15">
        <v>142</v>
      </c>
      <c r="AL9" s="19"/>
      <c r="AM9" s="19"/>
      <c r="AN9" s="19"/>
      <c r="AO9" s="19"/>
      <c r="AP9" s="1"/>
    </row>
    <row r="10" spans="1:49" x14ac:dyDescent="0.2">
      <c r="K10" s="4" t="s">
        <v>12</v>
      </c>
      <c r="L10" s="4" t="s">
        <v>28</v>
      </c>
      <c r="M10" s="4">
        <v>89.33</v>
      </c>
      <c r="N10" s="4">
        <v>38.75</v>
      </c>
      <c r="O10" s="4">
        <v>50.58</v>
      </c>
      <c r="P10" s="4" t="s">
        <v>6</v>
      </c>
      <c r="Q10" s="4" t="s">
        <v>116</v>
      </c>
      <c r="V10" s="24" t="s">
        <v>59</v>
      </c>
      <c r="W10" s="24" t="s">
        <v>73</v>
      </c>
      <c r="X10" s="4">
        <v>51.3</v>
      </c>
      <c r="Y10" s="24">
        <v>40.49</v>
      </c>
      <c r="Z10" s="4">
        <v>10.81</v>
      </c>
      <c r="AA10" s="4">
        <v>110</v>
      </c>
      <c r="AB10" s="4" t="s">
        <v>51</v>
      </c>
      <c r="AC10" s="4" t="s">
        <v>52</v>
      </c>
      <c r="AH10" s="13" t="s">
        <v>100</v>
      </c>
      <c r="AI10" s="15">
        <v>133.125</v>
      </c>
      <c r="AL10" s="19"/>
      <c r="AM10" s="19"/>
      <c r="AN10" s="19"/>
      <c r="AO10" s="19"/>
      <c r="AP10" s="1"/>
    </row>
    <row r="11" spans="1:49" x14ac:dyDescent="0.2">
      <c r="K11" s="4" t="s">
        <v>13</v>
      </c>
      <c r="L11" s="4" t="s">
        <v>29</v>
      </c>
      <c r="M11" s="4">
        <v>116</v>
      </c>
      <c r="N11" s="4">
        <v>66</v>
      </c>
      <c r="O11" s="4">
        <v>50</v>
      </c>
      <c r="P11" s="4" t="s">
        <v>6</v>
      </c>
      <c r="Q11" s="4" t="s">
        <v>117</v>
      </c>
      <c r="V11" s="24" t="s">
        <v>56</v>
      </c>
      <c r="W11" s="24" t="s">
        <v>50</v>
      </c>
      <c r="X11" s="4">
        <v>54.08</v>
      </c>
      <c r="Y11" s="24">
        <v>43.63</v>
      </c>
      <c r="Z11" s="4">
        <v>10.45</v>
      </c>
      <c r="AA11" s="4">
        <v>191</v>
      </c>
      <c r="AB11" s="4" t="s">
        <v>51</v>
      </c>
      <c r="AC11" s="4" t="s">
        <v>52</v>
      </c>
      <c r="AL11" s="1"/>
      <c r="AM11" s="1"/>
      <c r="AN11" s="1"/>
      <c r="AO11" s="1"/>
      <c r="AP11" s="1"/>
    </row>
    <row r="12" spans="1:49" x14ac:dyDescent="0.2">
      <c r="K12" s="4" t="s">
        <v>14</v>
      </c>
      <c r="L12" s="4" t="s">
        <v>30</v>
      </c>
      <c r="M12" s="4">
        <v>72</v>
      </c>
      <c r="N12" s="4">
        <v>23</v>
      </c>
      <c r="O12" s="4">
        <v>49</v>
      </c>
      <c r="P12" s="4" t="s">
        <v>6</v>
      </c>
      <c r="Q12" s="4" t="s">
        <v>118</v>
      </c>
      <c r="V12" s="24" t="s">
        <v>56</v>
      </c>
      <c r="W12" s="24" t="s">
        <v>72</v>
      </c>
      <c r="X12" s="4">
        <v>60.93</v>
      </c>
      <c r="Y12" s="24">
        <v>50.94</v>
      </c>
      <c r="Z12" s="4">
        <v>9.99</v>
      </c>
      <c r="AA12" s="4">
        <v>301</v>
      </c>
      <c r="AB12" s="4" t="s">
        <v>53</v>
      </c>
      <c r="AC12" s="4" t="s">
        <v>52</v>
      </c>
    </row>
    <row r="13" spans="1:49" x14ac:dyDescent="0.2">
      <c r="K13" s="4" t="s">
        <v>15</v>
      </c>
      <c r="L13" s="4" t="s">
        <v>27</v>
      </c>
      <c r="M13" s="4">
        <v>62.5</v>
      </c>
      <c r="N13" s="4">
        <v>15</v>
      </c>
      <c r="O13" s="4">
        <v>47.5</v>
      </c>
      <c r="P13" s="4" t="s">
        <v>6</v>
      </c>
      <c r="Q13" s="4" t="s">
        <v>119</v>
      </c>
      <c r="V13" s="24" t="s">
        <v>60</v>
      </c>
      <c r="W13" s="24" t="s">
        <v>76</v>
      </c>
      <c r="X13" s="4">
        <v>53.9</v>
      </c>
      <c r="Y13" s="24">
        <v>44.31</v>
      </c>
      <c r="Z13" s="4">
        <v>9.59</v>
      </c>
      <c r="AA13" s="4">
        <v>59</v>
      </c>
      <c r="AB13" s="4" t="s">
        <v>53</v>
      </c>
      <c r="AC13" s="4" t="s">
        <v>52</v>
      </c>
    </row>
    <row r="14" spans="1:49" x14ac:dyDescent="0.2">
      <c r="K14" s="4" t="s">
        <v>37</v>
      </c>
      <c r="L14" s="4" t="s">
        <v>46</v>
      </c>
      <c r="M14" s="4">
        <v>39.869999999999997</v>
      </c>
      <c r="N14" s="4">
        <v>87.33</v>
      </c>
      <c r="O14" s="4">
        <v>47.46</v>
      </c>
      <c r="P14" s="4" t="s">
        <v>6</v>
      </c>
      <c r="Q14" s="4" t="s">
        <v>120</v>
      </c>
      <c r="V14" s="24" t="s">
        <v>61</v>
      </c>
      <c r="W14" s="24" t="s">
        <v>30</v>
      </c>
      <c r="X14" s="4">
        <v>36.07</v>
      </c>
      <c r="Y14" s="24">
        <v>50.47</v>
      </c>
      <c r="Z14" s="4">
        <v>-14.4</v>
      </c>
      <c r="AA14" s="4">
        <v>119</v>
      </c>
      <c r="AB14" s="4" t="s">
        <v>54</v>
      </c>
      <c r="AC14" s="4" t="s">
        <v>55</v>
      </c>
    </row>
    <row r="15" spans="1:49" ht="19" x14ac:dyDescent="0.25">
      <c r="K15" s="4" t="s">
        <v>38</v>
      </c>
      <c r="L15" s="4" t="s">
        <v>47</v>
      </c>
      <c r="M15" s="4">
        <v>42.6</v>
      </c>
      <c r="N15" s="4">
        <v>90</v>
      </c>
      <c r="O15" s="4">
        <v>47.4</v>
      </c>
      <c r="P15" s="4" t="s">
        <v>6</v>
      </c>
      <c r="Q15" s="4" t="s">
        <v>121</v>
      </c>
      <c r="V15" s="24" t="s">
        <v>62</v>
      </c>
      <c r="W15" s="24" t="s">
        <v>49</v>
      </c>
      <c r="X15" s="4">
        <v>45.89</v>
      </c>
      <c r="Y15" s="24">
        <v>60.31</v>
      </c>
      <c r="Z15" s="4">
        <v>-14.42</v>
      </c>
      <c r="AA15" s="4">
        <v>372</v>
      </c>
      <c r="AB15" s="4" t="s">
        <v>54</v>
      </c>
      <c r="AC15" s="4" t="s">
        <v>55</v>
      </c>
      <c r="AN15" s="47" t="s">
        <v>137</v>
      </c>
      <c r="AO15" s="47"/>
      <c r="AP15" s="47"/>
      <c r="AQ15" s="47"/>
    </row>
    <row r="16" spans="1:49" x14ac:dyDescent="0.2">
      <c r="K16" s="4" t="s">
        <v>14</v>
      </c>
      <c r="L16" s="4" t="s">
        <v>48</v>
      </c>
      <c r="M16" s="4">
        <v>31</v>
      </c>
      <c r="N16" s="4">
        <v>77</v>
      </c>
      <c r="O16" s="4">
        <v>46</v>
      </c>
      <c r="P16" s="4" t="s">
        <v>6</v>
      </c>
      <c r="Q16" s="4" t="s">
        <v>122</v>
      </c>
      <c r="V16" s="24" t="s">
        <v>63</v>
      </c>
      <c r="W16" s="24" t="s">
        <v>70</v>
      </c>
      <c r="X16" s="4">
        <v>44.63</v>
      </c>
      <c r="Y16" s="24">
        <v>59.59</v>
      </c>
      <c r="Z16" s="4">
        <v>-14.96</v>
      </c>
      <c r="AA16" s="4">
        <v>56</v>
      </c>
      <c r="AB16" s="4" t="s">
        <v>54</v>
      </c>
      <c r="AC16" s="4" t="s">
        <v>55</v>
      </c>
    </row>
    <row r="17" spans="11:42" x14ac:dyDescent="0.2">
      <c r="K17" s="4" t="s">
        <v>19</v>
      </c>
      <c r="L17" s="4" t="s">
        <v>31</v>
      </c>
      <c r="M17" s="4">
        <v>79.67</v>
      </c>
      <c r="N17" s="4">
        <v>34</v>
      </c>
      <c r="O17" s="4">
        <v>45.67</v>
      </c>
      <c r="P17" s="4" t="s">
        <v>6</v>
      </c>
      <c r="Q17" s="4" t="s">
        <v>123</v>
      </c>
      <c r="V17" s="24" t="s">
        <v>64</v>
      </c>
      <c r="W17" s="24" t="s">
        <v>77</v>
      </c>
      <c r="X17" s="4">
        <v>45.7</v>
      </c>
      <c r="Y17" s="24">
        <v>61</v>
      </c>
      <c r="Z17" s="4">
        <v>-15.3</v>
      </c>
      <c r="AA17" s="4">
        <v>182</v>
      </c>
      <c r="AB17" s="4" t="s">
        <v>54</v>
      </c>
      <c r="AC17" s="4" t="s">
        <v>55</v>
      </c>
      <c r="AN17" t="s">
        <v>138</v>
      </c>
      <c r="AP17" s="24" t="s">
        <v>58</v>
      </c>
    </row>
    <row r="18" spans="11:42" x14ac:dyDescent="0.2">
      <c r="K18" s="4" t="s">
        <v>37</v>
      </c>
      <c r="L18" s="4" t="s">
        <v>32</v>
      </c>
      <c r="M18" s="4">
        <v>55.33</v>
      </c>
      <c r="N18" s="4">
        <v>98.67</v>
      </c>
      <c r="O18" s="4">
        <v>43.34</v>
      </c>
      <c r="P18" s="4" t="s">
        <v>6</v>
      </c>
      <c r="Q18" s="4" t="s">
        <v>124</v>
      </c>
      <c r="V18" s="24" t="s">
        <v>61</v>
      </c>
      <c r="W18" s="24" t="s">
        <v>78</v>
      </c>
      <c r="X18" s="4">
        <v>32.36</v>
      </c>
      <c r="Y18" s="24">
        <v>47.75</v>
      </c>
      <c r="Z18" s="4">
        <v>-15.39</v>
      </c>
      <c r="AA18" s="4">
        <v>84</v>
      </c>
      <c r="AB18" s="4" t="s">
        <v>54</v>
      </c>
      <c r="AC18" s="4" t="s">
        <v>55</v>
      </c>
      <c r="AN18" t="s">
        <v>139</v>
      </c>
      <c r="AP18" s="24" t="s">
        <v>75</v>
      </c>
    </row>
    <row r="19" spans="11:42" x14ac:dyDescent="0.2">
      <c r="K19" s="4" t="s">
        <v>39</v>
      </c>
      <c r="L19" s="4" t="s">
        <v>28</v>
      </c>
      <c r="M19" s="4">
        <v>60</v>
      </c>
      <c r="N19" s="4">
        <v>103</v>
      </c>
      <c r="O19" s="4">
        <v>43</v>
      </c>
      <c r="P19" s="4" t="s">
        <v>6</v>
      </c>
      <c r="Q19" s="4" t="s">
        <v>125</v>
      </c>
      <c r="V19" s="24" t="s">
        <v>65</v>
      </c>
      <c r="W19" s="24" t="s">
        <v>48</v>
      </c>
      <c r="X19" s="4">
        <v>33.74</v>
      </c>
      <c r="Y19" s="24">
        <v>49.28</v>
      </c>
      <c r="Z19" s="4">
        <v>-15.54</v>
      </c>
      <c r="AA19" s="4">
        <v>147</v>
      </c>
      <c r="AB19" s="4" t="s">
        <v>54</v>
      </c>
      <c r="AC19" s="4" t="s">
        <v>55</v>
      </c>
      <c r="AN19" t="s">
        <v>140</v>
      </c>
      <c r="AP19" s="30" cm="1">
        <f t="array" ref="AP19">IFERROR(INDEX($Z$4:$Z$23, MATCH(1, ($V$4:$V$23=AP17)*($W$4:$W$23=AP18),0)), "Enter valid Airports above")</f>
        <v>11.48</v>
      </c>
    </row>
    <row r="20" spans="11:42" x14ac:dyDescent="0.2">
      <c r="K20" s="4" t="s">
        <v>20</v>
      </c>
      <c r="L20" s="4" t="s">
        <v>49</v>
      </c>
      <c r="M20" s="4">
        <v>31.5</v>
      </c>
      <c r="N20" s="4">
        <v>74.2</v>
      </c>
      <c r="O20" s="4">
        <v>42.7</v>
      </c>
      <c r="P20" s="4" t="s">
        <v>6</v>
      </c>
      <c r="Q20" s="4" t="s">
        <v>126</v>
      </c>
      <c r="V20" s="24" t="s">
        <v>66</v>
      </c>
      <c r="W20" s="24" t="s">
        <v>26</v>
      </c>
      <c r="X20" s="4">
        <v>56.05</v>
      </c>
      <c r="Y20" s="24">
        <v>72.739999999999995</v>
      </c>
      <c r="Z20" s="4">
        <v>-16.7</v>
      </c>
      <c r="AA20" s="4">
        <v>82</v>
      </c>
      <c r="AB20" s="4" t="s">
        <v>54</v>
      </c>
      <c r="AC20" s="4" t="s">
        <v>55</v>
      </c>
      <c r="AN20" t="s">
        <v>141</v>
      </c>
      <c r="AP20" s="30" t="str">
        <f t="array" ref="AP20">IFERROR(INDEX($AB$4:$AB$23, MATCH(1, ($V$4:$V$23=AP17)*($W$4:$W$23=AP18),0))," ")</f>
        <v>Strong Recovery</v>
      </c>
    </row>
    <row r="21" spans="11:42" x14ac:dyDescent="0.2">
      <c r="K21" s="4" t="s">
        <v>40</v>
      </c>
      <c r="L21" s="4" t="s">
        <v>50</v>
      </c>
      <c r="M21" s="4">
        <v>87</v>
      </c>
      <c r="N21" s="4">
        <v>126</v>
      </c>
      <c r="O21" s="4">
        <v>39</v>
      </c>
      <c r="P21" s="4" t="s">
        <v>6</v>
      </c>
      <c r="Q21" s="4" t="s">
        <v>127</v>
      </c>
      <c r="V21" s="24" t="s">
        <v>67</v>
      </c>
      <c r="W21" s="24" t="s">
        <v>79</v>
      </c>
      <c r="X21" s="4">
        <v>47.86</v>
      </c>
      <c r="Y21" s="24">
        <v>64.819999999999993</v>
      </c>
      <c r="Z21" s="4">
        <v>-16.96</v>
      </c>
      <c r="AA21" s="4">
        <v>171</v>
      </c>
      <c r="AB21" s="4" t="s">
        <v>54</v>
      </c>
      <c r="AC21" s="4" t="s">
        <v>55</v>
      </c>
      <c r="AN21" t="s">
        <v>142</v>
      </c>
      <c r="AP21" s="30" t="str">
        <f t="array" ref="AP21">IFERROR(INDEX($AC$4:$AC$23, MATCH(1, ($V$4:$V$23=AP17)*($W$4:$W$23=AP18),0))," ")</f>
        <v>Best Recovering</v>
      </c>
    </row>
    <row r="22" spans="11:42" x14ac:dyDescent="0.2">
      <c r="K22" s="4" t="s">
        <v>23</v>
      </c>
      <c r="L22" s="4" t="s">
        <v>33</v>
      </c>
      <c r="M22" s="4">
        <v>78</v>
      </c>
      <c r="N22" s="4">
        <v>39.11</v>
      </c>
      <c r="O22" s="4">
        <v>38.89</v>
      </c>
      <c r="P22" s="4" t="s">
        <v>6</v>
      </c>
      <c r="Q22" s="4" t="s">
        <v>128</v>
      </c>
      <c r="V22" s="24" t="s">
        <v>68</v>
      </c>
      <c r="W22" s="24" t="s">
        <v>49</v>
      </c>
      <c r="X22" s="4">
        <v>46.12</v>
      </c>
      <c r="Y22" s="24">
        <v>66.78</v>
      </c>
      <c r="Z22" s="4">
        <v>-20.66</v>
      </c>
      <c r="AA22" s="4">
        <v>65</v>
      </c>
      <c r="AB22" s="4" t="s">
        <v>54</v>
      </c>
      <c r="AC22" s="4" t="s">
        <v>55</v>
      </c>
    </row>
    <row r="23" spans="11:42" x14ac:dyDescent="0.2">
      <c r="K23" s="4" t="s">
        <v>41</v>
      </c>
      <c r="L23" s="4" t="s">
        <v>25</v>
      </c>
      <c r="M23" s="4">
        <v>15</v>
      </c>
      <c r="N23" s="4">
        <v>53.25</v>
      </c>
      <c r="O23" s="4">
        <v>38.25</v>
      </c>
      <c r="P23" s="4" t="s">
        <v>6</v>
      </c>
      <c r="Q23" s="4" t="s">
        <v>129</v>
      </c>
      <c r="V23" s="24" t="s">
        <v>69</v>
      </c>
      <c r="W23" s="24" t="s">
        <v>45</v>
      </c>
      <c r="X23" s="4">
        <v>41.49</v>
      </c>
      <c r="Y23" s="24">
        <v>64.05</v>
      </c>
      <c r="Z23" s="4">
        <v>-22.56</v>
      </c>
      <c r="AA23" s="4">
        <v>63</v>
      </c>
      <c r="AB23" s="4" t="s">
        <v>54</v>
      </c>
      <c r="AC23" s="4" t="s">
        <v>55</v>
      </c>
    </row>
    <row r="29" spans="11:42" x14ac:dyDescent="0.2">
      <c r="AC29" s="7" t="s">
        <v>134</v>
      </c>
      <c r="AD29" s="7" t="s">
        <v>135</v>
      </c>
    </row>
    <row r="30" spans="11:42" ht="17" x14ac:dyDescent="0.25">
      <c r="AC30" s="28" t="str">
        <f>V4&amp;" → "&amp;W4</f>
        <v>STL →  PHL</v>
      </c>
      <c r="AD30">
        <f>Z4</f>
        <v>16.48</v>
      </c>
    </row>
    <row r="31" spans="11:42" ht="17" x14ac:dyDescent="0.25">
      <c r="AC31" s="28" t="str">
        <f t="shared" ref="AC31:AC55" si="0">V5&amp;" → "&amp;W5</f>
        <v>LAS  →  JAX</v>
      </c>
      <c r="AD31">
        <f t="shared" ref="AD31:AD49" si="1">Z5</f>
        <v>13.57</v>
      </c>
    </row>
    <row r="32" spans="11:42" ht="17" x14ac:dyDescent="0.25">
      <c r="AC32" s="28" t="str">
        <f t="shared" si="0"/>
        <v>SFO  →  BWI</v>
      </c>
      <c r="AD32">
        <f t="shared" si="1"/>
        <v>13.14</v>
      </c>
    </row>
    <row r="33" spans="29:30" ht="17" x14ac:dyDescent="0.25">
      <c r="AC33" s="28" t="str">
        <f t="shared" si="0"/>
        <v>LAS  →  BHM</v>
      </c>
      <c r="AD33">
        <f t="shared" si="1"/>
        <v>11.86</v>
      </c>
    </row>
    <row r="34" spans="29:30" ht="17" x14ac:dyDescent="0.25">
      <c r="AC34" s="28" t="str">
        <f t="shared" si="0"/>
        <v>LAS  →  ORF</v>
      </c>
      <c r="AD34">
        <f t="shared" si="1"/>
        <v>11.82</v>
      </c>
    </row>
    <row r="35" spans="29:30" ht="17" x14ac:dyDescent="0.25">
      <c r="AC35" s="28" t="str">
        <f t="shared" si="0"/>
        <v>PHX  →  PVD</v>
      </c>
      <c r="AD35">
        <f t="shared" si="1"/>
        <v>11.48</v>
      </c>
    </row>
    <row r="36" spans="29:30" ht="17" x14ac:dyDescent="0.25">
      <c r="AC36" s="28" t="str">
        <f t="shared" si="0"/>
        <v>MSY  →  BHM</v>
      </c>
      <c r="AD36">
        <f t="shared" si="1"/>
        <v>10.81</v>
      </c>
    </row>
    <row r="37" spans="29:30" ht="17" x14ac:dyDescent="0.25">
      <c r="AC37" s="28" t="str">
        <f t="shared" si="0"/>
        <v>LAS  →  TPA</v>
      </c>
      <c r="AD37">
        <f t="shared" si="1"/>
        <v>10.45</v>
      </c>
    </row>
    <row r="38" spans="29:30" ht="17" x14ac:dyDescent="0.25">
      <c r="AC38" s="28" t="str">
        <f t="shared" si="0"/>
        <v>LAS  →  BWI</v>
      </c>
      <c r="AD38">
        <f t="shared" si="1"/>
        <v>9.99</v>
      </c>
    </row>
    <row r="39" spans="29:30" ht="17" x14ac:dyDescent="0.25">
      <c r="AC39" s="28" t="str">
        <f t="shared" si="0"/>
        <v>SMF  →  TUL</v>
      </c>
      <c r="AD39">
        <f t="shared" si="1"/>
        <v>9.59</v>
      </c>
    </row>
    <row r="40" spans="29:30" ht="17" x14ac:dyDescent="0.25">
      <c r="AC40" s="28" t="str">
        <f t="shared" si="0"/>
        <v>DTW  →  SAN</v>
      </c>
      <c r="AD40">
        <f t="shared" si="1"/>
        <v>-14.4</v>
      </c>
    </row>
    <row r="41" spans="29:30" ht="17" x14ac:dyDescent="0.25">
      <c r="AC41" s="28" t="str">
        <f t="shared" si="0"/>
        <v>MSP  →  JFK</v>
      </c>
      <c r="AD41">
        <f t="shared" si="1"/>
        <v>-14.42</v>
      </c>
    </row>
    <row r="42" spans="29:30" ht="17" x14ac:dyDescent="0.25">
      <c r="AC42" s="28" t="str">
        <f t="shared" si="0"/>
        <v>BDL  →  PHL</v>
      </c>
      <c r="AD42">
        <f t="shared" si="1"/>
        <v>-14.96</v>
      </c>
    </row>
    <row r="43" spans="29:30" ht="17" x14ac:dyDescent="0.25">
      <c r="AC43" s="28" t="str">
        <f t="shared" si="0"/>
        <v>MKE  →  LGA</v>
      </c>
      <c r="AD43">
        <f t="shared" si="1"/>
        <v>-15.3</v>
      </c>
    </row>
    <row r="44" spans="29:30" ht="17" x14ac:dyDescent="0.25">
      <c r="AC44" s="28" t="str">
        <f t="shared" si="0"/>
        <v>DTW  →  PBI</v>
      </c>
      <c r="AD44">
        <f t="shared" si="1"/>
        <v>-15.39</v>
      </c>
    </row>
    <row r="45" spans="29:30" ht="17" x14ac:dyDescent="0.25">
      <c r="AC45" s="28" t="str">
        <f t="shared" si="0"/>
        <v>EWR  →  SNA</v>
      </c>
      <c r="AD45">
        <f t="shared" si="1"/>
        <v>-15.54</v>
      </c>
    </row>
    <row r="46" spans="29:30" ht="17" x14ac:dyDescent="0.25">
      <c r="AC46" s="28" t="str">
        <f t="shared" si="0"/>
        <v>PNS  →  ORD</v>
      </c>
      <c r="AD46">
        <f t="shared" si="1"/>
        <v>-16.7</v>
      </c>
    </row>
    <row r="47" spans="29:30" ht="17" x14ac:dyDescent="0.25">
      <c r="AC47" s="28" t="str">
        <f t="shared" si="0"/>
        <v>JFK  →  STL</v>
      </c>
      <c r="AD47">
        <f t="shared" si="1"/>
        <v>-16.96</v>
      </c>
    </row>
    <row r="48" spans="29:30" ht="17" x14ac:dyDescent="0.25">
      <c r="AC48" s="28" t="str">
        <f t="shared" si="0"/>
        <v>STT  →  JFK</v>
      </c>
      <c r="AD48">
        <f t="shared" si="1"/>
        <v>-20.66</v>
      </c>
    </row>
    <row r="49" spans="22:30" ht="17" x14ac:dyDescent="0.25">
      <c r="AC49" s="28" t="str">
        <f t="shared" si="0"/>
        <v>PHL  →  SMF</v>
      </c>
      <c r="AD49">
        <f t="shared" si="1"/>
        <v>-22.56</v>
      </c>
    </row>
    <row r="50" spans="22:30" ht="17" x14ac:dyDescent="0.25">
      <c r="AC50" s="28"/>
    </row>
    <row r="51" spans="22:30" ht="17" x14ac:dyDescent="0.25">
      <c r="AC51" s="28"/>
    </row>
    <row r="52" spans="22:30" ht="17" x14ac:dyDescent="0.25">
      <c r="AC52" s="28"/>
    </row>
    <row r="53" spans="22:30" ht="17" x14ac:dyDescent="0.25">
      <c r="AC53" s="28"/>
    </row>
    <row r="54" spans="22:30" ht="17" x14ac:dyDescent="0.25">
      <c r="AC54" s="28"/>
    </row>
    <row r="55" spans="22:30" ht="17" x14ac:dyDescent="0.25">
      <c r="AC55" s="28"/>
    </row>
    <row r="56" spans="22:30" ht="22" x14ac:dyDescent="0.3">
      <c r="V56" s="29" t="s">
        <v>136</v>
      </c>
      <c r="W56" s="29"/>
      <c r="X56" s="29"/>
      <c r="Y56" s="29"/>
      <c r="Z56" s="29"/>
    </row>
  </sheetData>
  <mergeCells count="7">
    <mergeCell ref="V1:AC1"/>
    <mergeCell ref="AH1:AK1"/>
    <mergeCell ref="AL3:AO10"/>
    <mergeCell ref="V56:Z56"/>
    <mergeCell ref="AN15:AQ15"/>
    <mergeCell ref="A1:H1"/>
    <mergeCell ref="K1:Q1"/>
  </mergeCells>
  <conditionalFormatting sqref="Z4:Z23">
    <cfRule type="cellIs" dxfId="46" priority="4" operator="greaterThan">
      <formula>0</formula>
    </cfRule>
    <cfRule type="cellIs" dxfId="45" priority="5" operator="lessThan">
      <formula>0</formula>
    </cfRule>
    <cfRule type="cellIs" dxfId="44" priority="8" operator="lessThan">
      <formula>0</formula>
    </cfRule>
    <cfRule type="cellIs" dxfId="43" priority="9" operator="lessThan">
      <formula>0</formula>
    </cfRule>
    <cfRule type="cellIs" dxfId="42" priority="10" operator="greaterThan">
      <formula>0</formula>
    </cfRule>
  </conditionalFormatting>
  <conditionalFormatting sqref="AD30:AD49">
    <cfRule type="cellIs" dxfId="41" priority="1" operator="lessThan">
      <formula>0</formula>
    </cfRule>
    <cfRule type="cellIs" dxfId="40" priority="2" operator="greaterThan">
      <formula>0</formula>
    </cfRule>
    <cfRule type="cellIs" dxfId="39" priority="3" operator="greaterThan">
      <formula>0</formula>
    </cfRule>
    <cfRule type="cellIs" dxfId="38" priority="6" operator="lessThan">
      <formula>0</formula>
    </cfRule>
    <cfRule type="cellIs" dxfId="37" priority="7" operator="greaterThan">
      <formula>0</formula>
    </cfRule>
  </conditionalFormatting>
  <dataValidations count="2">
    <dataValidation type="list" allowBlank="1" showInputMessage="1" showErrorMessage="1" sqref="AP17" xr:uid="{15C8F802-F0BB-9940-A489-758FAE838C22}">
      <formula1>$V$4:$V$23</formula1>
    </dataValidation>
    <dataValidation type="list" allowBlank="1" showInputMessage="1" showErrorMessage="1" sqref="AP18" xr:uid="{0A03E4E9-63DA-D54F-9377-C554E71EDA8E}">
      <formula1>$W$4:$W$23</formula1>
    </dataValidation>
  </dataValidation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9B8B2-4C94-844D-8C56-20744727B823}">
  <dimension ref="A1:CK52"/>
  <sheetViews>
    <sheetView topLeftCell="AU9" zoomScale="89" workbookViewId="0">
      <selection activeCell="BE52" sqref="BE52"/>
    </sheetView>
  </sheetViews>
  <sheetFormatPr baseColWidth="10" defaultRowHeight="16" x14ac:dyDescent="0.2"/>
  <cols>
    <col min="1" max="1" width="18.83203125" bestFit="1" customWidth="1"/>
    <col min="2" max="2" width="7.6640625" bestFit="1" customWidth="1"/>
    <col min="3" max="3" width="13.1640625" bestFit="1" customWidth="1"/>
    <col min="4" max="4" width="10.6640625" bestFit="1" customWidth="1"/>
    <col min="5" max="5" width="14.1640625" bestFit="1" customWidth="1"/>
    <col min="6" max="6" width="19.6640625" bestFit="1" customWidth="1"/>
    <col min="7" max="7" width="17" bestFit="1" customWidth="1"/>
    <col min="8" max="8" width="21.5" bestFit="1" customWidth="1"/>
    <col min="10" max="10" width="10.83203125" style="27"/>
    <col min="13" max="13" width="7.6640625" bestFit="1" customWidth="1"/>
    <col min="14" max="14" width="16.83203125" bestFit="1" customWidth="1"/>
    <col min="15" max="15" width="18.5" bestFit="1" customWidth="1"/>
    <col min="16" max="16" width="33.5" bestFit="1" customWidth="1"/>
    <col min="17" max="17" width="32.5" bestFit="1" customWidth="1"/>
    <col min="18" max="18" width="18.1640625" bestFit="1" customWidth="1"/>
    <col min="19" max="19" width="18.83203125" bestFit="1" customWidth="1"/>
    <col min="20" max="20" width="15.1640625" bestFit="1" customWidth="1"/>
    <col min="22" max="22" width="10.83203125" style="27"/>
    <col min="25" max="25" width="14.83203125" bestFit="1" customWidth="1"/>
    <col min="26" max="26" width="7.6640625" bestFit="1" customWidth="1"/>
    <col min="27" max="27" width="13.1640625" bestFit="1" customWidth="1"/>
    <col min="28" max="28" width="22" bestFit="1" customWidth="1"/>
    <col min="29" max="29" width="19.83203125" bestFit="1" customWidth="1"/>
    <col min="30" max="30" width="17.33203125" bestFit="1" customWidth="1"/>
    <col min="31" max="31" width="22.33203125" bestFit="1" customWidth="1"/>
    <col min="32" max="32" width="11" bestFit="1" customWidth="1"/>
    <col min="33" max="33" width="16.6640625" bestFit="1" customWidth="1"/>
    <col min="35" max="35" width="10.83203125" style="27"/>
    <col min="38" max="38" width="7.6640625" bestFit="1" customWidth="1"/>
    <col min="39" max="39" width="17.6640625" bestFit="1" customWidth="1"/>
    <col min="40" max="40" width="14.6640625" bestFit="1" customWidth="1"/>
    <col min="41" max="41" width="16" bestFit="1" customWidth="1"/>
    <col min="42" max="42" width="12.5" bestFit="1" customWidth="1"/>
    <col min="43" max="43" width="18" bestFit="1" customWidth="1"/>
    <col min="44" max="44" width="20.6640625" bestFit="1" customWidth="1"/>
    <col min="45" max="45" width="21" bestFit="1" customWidth="1"/>
    <col min="46" max="46" width="22.33203125" bestFit="1" customWidth="1"/>
    <col min="48" max="48" width="10.83203125" style="27"/>
    <col min="51" max="51" width="7.6640625" bestFit="1" customWidth="1"/>
    <col min="52" max="52" width="13.1640625" bestFit="1" customWidth="1"/>
    <col min="53" max="53" width="11" bestFit="1" customWidth="1"/>
    <col min="54" max="54" width="9" bestFit="1" customWidth="1"/>
    <col min="55" max="55" width="18.83203125" bestFit="1" customWidth="1"/>
    <col min="56" max="56" width="15.5" bestFit="1" customWidth="1"/>
    <col min="57" max="57" width="17.6640625" bestFit="1" customWidth="1"/>
    <col min="58" max="58" width="21" bestFit="1" customWidth="1"/>
    <col min="59" max="59" width="18" bestFit="1" customWidth="1"/>
    <col min="60" max="60" width="15.1640625" bestFit="1" customWidth="1"/>
    <col min="62" max="62" width="10.83203125" style="27"/>
    <col min="64" max="64" width="13" bestFit="1" customWidth="1"/>
    <col min="65" max="65" width="17.83203125" bestFit="1" customWidth="1"/>
    <col min="66" max="66" width="26.5" bestFit="1" customWidth="1"/>
    <col min="67" max="67" width="18.83203125" bestFit="1" customWidth="1"/>
    <col min="68" max="68" width="10.83203125" style="27"/>
    <col min="70" max="70" width="8.33203125" bestFit="1" customWidth="1"/>
    <col min="71" max="71" width="11.6640625" bestFit="1" customWidth="1"/>
    <col min="72" max="72" width="21.33203125" bestFit="1" customWidth="1"/>
    <col min="78" max="78" width="10.83203125" style="27"/>
    <col min="80" max="80" width="7.6640625" bestFit="1" customWidth="1"/>
    <col min="81" max="81" width="14.6640625" bestFit="1" customWidth="1"/>
    <col min="82" max="82" width="12.5" bestFit="1" customWidth="1"/>
    <col min="83" max="83" width="17.6640625" bestFit="1" customWidth="1"/>
    <col min="89" max="89" width="10.83203125" style="27"/>
  </cols>
  <sheetData>
    <row r="1" spans="1:85" ht="19" x14ac:dyDescent="0.25">
      <c r="A1" s="31" t="s">
        <v>172</v>
      </c>
      <c r="B1" s="11"/>
      <c r="C1" s="11"/>
      <c r="D1" s="11"/>
      <c r="E1" s="11"/>
      <c r="F1" s="11"/>
      <c r="G1" s="11"/>
      <c r="H1" s="11"/>
      <c r="I1" s="11"/>
      <c r="M1" s="31" t="s">
        <v>189</v>
      </c>
      <c r="N1" s="11"/>
      <c r="O1" s="11"/>
      <c r="P1" s="11"/>
      <c r="Q1" s="11"/>
      <c r="R1" s="11"/>
      <c r="S1" s="11"/>
      <c r="T1" s="11"/>
      <c r="U1" s="11"/>
      <c r="Y1" s="33" t="s">
        <v>190</v>
      </c>
      <c r="Z1" s="33"/>
      <c r="AA1" s="33"/>
      <c r="AB1" s="33"/>
      <c r="AC1" s="33"/>
      <c r="AD1" s="33"/>
      <c r="AE1" s="33"/>
      <c r="AF1" s="33"/>
      <c r="AG1" s="2"/>
      <c r="AH1" s="2"/>
      <c r="AI1" s="34"/>
      <c r="AL1" s="33" t="s">
        <v>201</v>
      </c>
      <c r="AM1" s="33"/>
      <c r="AN1" s="33"/>
      <c r="AO1" s="33"/>
      <c r="AP1" s="33"/>
      <c r="AQ1" s="33"/>
      <c r="AR1" s="33"/>
      <c r="AS1" s="33"/>
      <c r="AY1" s="33" t="s">
        <v>223</v>
      </c>
      <c r="AZ1" s="33"/>
      <c r="BA1" s="33"/>
      <c r="BB1" s="33"/>
      <c r="BC1" s="33"/>
      <c r="BD1" s="33"/>
      <c r="BE1" s="33"/>
      <c r="BL1" s="33" t="s">
        <v>224</v>
      </c>
      <c r="BM1" s="33"/>
      <c r="BN1" s="33"/>
      <c r="BO1" s="33"/>
      <c r="BP1" s="37"/>
      <c r="BR1" s="33" t="s">
        <v>228</v>
      </c>
      <c r="BS1" s="33"/>
      <c r="BT1" s="33"/>
      <c r="BU1" s="33"/>
      <c r="BV1" s="33"/>
      <c r="BW1" s="33"/>
      <c r="BX1" s="33"/>
      <c r="CB1" s="33" t="s">
        <v>229</v>
      </c>
      <c r="CC1" s="33"/>
      <c r="CD1" s="33"/>
      <c r="CE1" s="33"/>
      <c r="CF1" s="33"/>
      <c r="CG1" s="33"/>
    </row>
    <row r="2" spans="1:85" x14ac:dyDescent="0.2">
      <c r="BL2" s="2"/>
      <c r="BM2" s="2"/>
      <c r="BN2" s="2"/>
      <c r="BO2" s="2"/>
    </row>
    <row r="3" spans="1:85" ht="19" x14ac:dyDescent="0.25">
      <c r="A3" s="5" t="s">
        <v>180</v>
      </c>
      <c r="B3" s="5" t="s">
        <v>173</v>
      </c>
      <c r="C3" s="5" t="s">
        <v>179</v>
      </c>
      <c r="D3" s="5" t="s">
        <v>174</v>
      </c>
      <c r="E3" s="5" t="s">
        <v>178</v>
      </c>
      <c r="F3" s="5" t="s">
        <v>175</v>
      </c>
      <c r="G3" s="5" t="s">
        <v>177</v>
      </c>
      <c r="H3" s="5" t="s">
        <v>176</v>
      </c>
      <c r="M3" s="5" t="s">
        <v>173</v>
      </c>
      <c r="N3" s="5" t="s">
        <v>183</v>
      </c>
      <c r="O3" s="5" t="s">
        <v>221</v>
      </c>
      <c r="P3" s="5" t="s">
        <v>184</v>
      </c>
      <c r="Q3" s="5" t="s">
        <v>185</v>
      </c>
      <c r="R3" s="5" t="s">
        <v>186</v>
      </c>
      <c r="S3" s="5" t="s">
        <v>187</v>
      </c>
      <c r="T3" s="5" t="s">
        <v>188</v>
      </c>
      <c r="Y3" s="5" t="s">
        <v>194</v>
      </c>
      <c r="Z3" s="5" t="s">
        <v>173</v>
      </c>
      <c r="AA3" s="5" t="s">
        <v>179</v>
      </c>
      <c r="AB3" s="5" t="s">
        <v>195</v>
      </c>
      <c r="AC3" s="5" t="s">
        <v>196</v>
      </c>
      <c r="AD3" s="5" t="s">
        <v>197</v>
      </c>
      <c r="AE3" s="5" t="s">
        <v>198</v>
      </c>
      <c r="AF3" s="5" t="s">
        <v>199</v>
      </c>
      <c r="AG3" s="5" t="s">
        <v>200</v>
      </c>
      <c r="AL3" s="5" t="s">
        <v>173</v>
      </c>
      <c r="AM3" s="5" t="s">
        <v>210</v>
      </c>
      <c r="AN3" s="5" t="s">
        <v>211</v>
      </c>
      <c r="AO3" s="5" t="s">
        <v>212</v>
      </c>
      <c r="AP3" s="5" t="s">
        <v>213</v>
      </c>
      <c r="AQ3" s="5" t="s">
        <v>214</v>
      </c>
      <c r="AR3" s="5" t="s">
        <v>215</v>
      </c>
      <c r="AS3" s="5" t="s">
        <v>216</v>
      </c>
      <c r="AT3" s="5" t="s">
        <v>217</v>
      </c>
      <c r="AY3" s="5" t="s">
        <v>173</v>
      </c>
      <c r="AZ3" s="5" t="s">
        <v>179</v>
      </c>
      <c r="BA3" s="5" t="s">
        <v>199</v>
      </c>
      <c r="BB3" s="5" t="s">
        <v>218</v>
      </c>
      <c r="BC3" s="5" t="s">
        <v>180</v>
      </c>
      <c r="BD3" s="5" t="s">
        <v>220</v>
      </c>
      <c r="BE3" s="5" t="s">
        <v>210</v>
      </c>
      <c r="BF3" s="5" t="s">
        <v>216</v>
      </c>
      <c r="BG3" s="5" t="s">
        <v>222</v>
      </c>
      <c r="BH3" s="5" t="s">
        <v>188</v>
      </c>
      <c r="BL3" s="14" t="s">
        <v>99</v>
      </c>
      <c r="BM3" t="s">
        <v>227</v>
      </c>
      <c r="BN3" t="s">
        <v>226</v>
      </c>
      <c r="BO3" t="s">
        <v>225</v>
      </c>
      <c r="BR3" s="5" t="s">
        <v>173</v>
      </c>
      <c r="BS3" s="5" t="s">
        <v>199</v>
      </c>
      <c r="BT3" s="5" t="s">
        <v>196</v>
      </c>
      <c r="CB3" s="5" t="s">
        <v>173</v>
      </c>
      <c r="CC3" s="5" t="s">
        <v>211</v>
      </c>
      <c r="CD3" s="5" t="s">
        <v>213</v>
      </c>
      <c r="CE3" s="5" t="s">
        <v>210</v>
      </c>
    </row>
    <row r="4" spans="1:85" x14ac:dyDescent="0.2">
      <c r="A4" s="4">
        <v>1</v>
      </c>
      <c r="B4" s="4" t="s">
        <v>171</v>
      </c>
      <c r="C4" s="4">
        <v>330</v>
      </c>
      <c r="D4" s="4">
        <v>37.51</v>
      </c>
      <c r="E4" s="4">
        <v>24.9</v>
      </c>
      <c r="F4" s="4" t="s">
        <v>149</v>
      </c>
      <c r="G4" s="4">
        <v>1</v>
      </c>
      <c r="H4" s="4" t="s">
        <v>150</v>
      </c>
      <c r="M4" s="4" t="s">
        <v>171</v>
      </c>
      <c r="N4" s="4">
        <v>1</v>
      </c>
      <c r="O4" s="4">
        <v>-2.4900000000000002</v>
      </c>
      <c r="P4" s="4">
        <v>-2.4900000000000002</v>
      </c>
      <c r="Q4" s="4">
        <v>-2.4900000000000002</v>
      </c>
      <c r="R4" s="4">
        <v>1</v>
      </c>
      <c r="S4" s="4">
        <v>0</v>
      </c>
      <c r="T4" s="4" t="s">
        <v>181</v>
      </c>
      <c r="Y4" s="4">
        <v>1</v>
      </c>
      <c r="Z4" s="4" t="s">
        <v>169</v>
      </c>
      <c r="AA4" s="4">
        <v>33297</v>
      </c>
      <c r="AB4" s="4">
        <v>12532</v>
      </c>
      <c r="AC4" s="4">
        <v>37.64</v>
      </c>
      <c r="AD4" s="4">
        <v>28.42</v>
      </c>
      <c r="AE4" s="4">
        <v>33.950000000000003</v>
      </c>
      <c r="AF4" s="4">
        <v>56.85</v>
      </c>
      <c r="AG4" s="4" t="s">
        <v>191</v>
      </c>
      <c r="AL4" s="4" t="s">
        <v>170</v>
      </c>
      <c r="AM4" s="4" t="s">
        <v>202</v>
      </c>
      <c r="AN4" s="35">
        <v>0.56530000000000002</v>
      </c>
      <c r="AO4" s="4" t="s">
        <v>203</v>
      </c>
      <c r="AP4" s="35">
        <v>0.21160000000000001</v>
      </c>
      <c r="AQ4" s="4">
        <v>27508</v>
      </c>
      <c r="AR4" s="4">
        <v>50.53</v>
      </c>
      <c r="AS4" s="4" t="s">
        <v>204</v>
      </c>
      <c r="AT4" s="4" t="s">
        <v>205</v>
      </c>
      <c r="AY4" s="4" t="s">
        <v>171</v>
      </c>
      <c r="AZ4" s="4">
        <f t="array" ref="AZ4">VLOOKUP(AY4,  $B$3:$C$23,  2, FALSE)</f>
        <v>330</v>
      </c>
      <c r="BA4" s="4">
        <f t="array" ref="BA4">VLOOKUP(AY4, $B$3:$D$23, 3,FALSE)</f>
        <v>37.51</v>
      </c>
      <c r="BB4" s="4">
        <f t="array" ref="BB4">VLOOKUP(AY4, $B$3:$E$23, 4,FALSE)</f>
        <v>24.9</v>
      </c>
      <c r="BC4" s="4">
        <f>INDEX($A$4:$A$23,MATCH(AY4,$B$4:$B$23,0))</f>
        <v>1</v>
      </c>
      <c r="BD4" s="4">
        <f t="array" ref="BD4" xml:space="preserve"> VLOOKUP(AY4, $Z$3:$AC$23, 4,FALSE)</f>
        <v>13.94</v>
      </c>
      <c r="BE4" s="4" t="str">
        <f t="array" ref="BE4">VLOOKUP(AY4, $AL$3:$AM$23, 2,FALSE)</f>
        <v>Carrier Delay</v>
      </c>
      <c r="BF4" s="4" t="str">
        <f t="array" ref="BF4">VLOOKUP(AY4, $AL$3:$AS$23, 8,FALSE)</f>
        <v>Deviates from Network</v>
      </c>
      <c r="BG4" s="4">
        <f t="array" ref="BG4">VLOOKUP(AY4, $M$3:$O$23,3,FALSE)</f>
        <v>-2.4900000000000002</v>
      </c>
      <c r="BH4" s="4" t="str">
        <f t="array" ref="BH4">VLOOKUP(AY4, q5_airline_mom_trend,8,FALSE)</f>
        <v>Overall Improving</v>
      </c>
      <c r="BL4" s="13" t="s">
        <v>169</v>
      </c>
      <c r="BM4" s="15">
        <v>33297</v>
      </c>
      <c r="BN4" s="15">
        <v>37.64</v>
      </c>
      <c r="BO4" s="15">
        <v>56.85</v>
      </c>
      <c r="BR4" s="4" t="s">
        <v>171</v>
      </c>
      <c r="BS4" s="4">
        <f t="array" ref="BS4">VLOOKUP(BR4,$B$3:$D$23,3,FALSE)</f>
        <v>37.51</v>
      </c>
      <c r="BT4" s="4">
        <f t="array" ref="BT4">VLOOKUP(BR4,$Z$3:$AC$23,4,FALSE)</f>
        <v>13.94</v>
      </c>
      <c r="CB4" s="4" t="s">
        <v>170</v>
      </c>
      <c r="CC4" s="35">
        <v>0.56530000000000002</v>
      </c>
      <c r="CD4" s="35">
        <v>0.21160000000000001</v>
      </c>
      <c r="CE4" s="4" t="s">
        <v>202</v>
      </c>
    </row>
    <row r="5" spans="1:85" x14ac:dyDescent="0.2">
      <c r="A5" s="4">
        <v>2</v>
      </c>
      <c r="B5" s="4" t="s">
        <v>148</v>
      </c>
      <c r="C5" s="4">
        <v>4063</v>
      </c>
      <c r="D5" s="4">
        <v>38.340000000000003</v>
      </c>
      <c r="E5" s="4">
        <v>26.23</v>
      </c>
      <c r="F5" s="4" t="s">
        <v>149</v>
      </c>
      <c r="G5" s="4">
        <v>2</v>
      </c>
      <c r="H5" s="4" t="s">
        <v>150</v>
      </c>
      <c r="M5" s="4" t="s">
        <v>170</v>
      </c>
      <c r="N5" s="4">
        <v>11</v>
      </c>
      <c r="O5" s="4">
        <v>-0.19</v>
      </c>
      <c r="P5" s="4">
        <v>-6.44</v>
      </c>
      <c r="Q5" s="4">
        <v>6.24</v>
      </c>
      <c r="R5" s="4">
        <v>5</v>
      </c>
      <c r="S5" s="4">
        <v>6</v>
      </c>
      <c r="T5" s="4" t="s">
        <v>182</v>
      </c>
      <c r="Y5" s="4">
        <v>2</v>
      </c>
      <c r="Z5" s="4" t="s">
        <v>167</v>
      </c>
      <c r="AA5" s="4">
        <v>86210</v>
      </c>
      <c r="AB5" s="4">
        <v>30049</v>
      </c>
      <c r="AC5" s="4">
        <v>34.86</v>
      </c>
      <c r="AD5" s="4">
        <v>31.57</v>
      </c>
      <c r="AE5" s="4">
        <v>33.57</v>
      </c>
      <c r="AF5" s="4">
        <v>54.32</v>
      </c>
      <c r="AG5" s="4" t="s">
        <v>191</v>
      </c>
      <c r="AL5" s="4" t="s">
        <v>171</v>
      </c>
      <c r="AM5" s="4" t="s">
        <v>202</v>
      </c>
      <c r="AN5" s="35">
        <v>0.56279999999999997</v>
      </c>
      <c r="AO5" s="4" t="s">
        <v>203</v>
      </c>
      <c r="AP5" s="35">
        <v>0.36659999999999998</v>
      </c>
      <c r="AQ5" s="4">
        <v>208</v>
      </c>
      <c r="AR5" s="4">
        <v>33.49</v>
      </c>
      <c r="AS5" s="4" t="s">
        <v>204</v>
      </c>
      <c r="AT5" s="4" t="s">
        <v>205</v>
      </c>
      <c r="AY5" s="4" t="s">
        <v>148</v>
      </c>
      <c r="AZ5" s="4">
        <f t="array" ref="AZ5">VLOOKUP(AY5,  $B$3:$C$23,  2, FALSE)</f>
        <v>4063</v>
      </c>
      <c r="BA5" s="4">
        <f t="array" ref="BA5">VLOOKUP(AY5, $B$3:$D$23, 3,FALSE)</f>
        <v>38.340000000000003</v>
      </c>
      <c r="BB5" s="4">
        <f t="array" ref="BB5">VLOOKUP(AY5, $B$3:$E$23, 4,FALSE)</f>
        <v>26.23</v>
      </c>
      <c r="BC5" s="4">
        <f t="array" ref="BC5">INDEX($A$4:$A$23,MATCH(AY5,$B$4:$B$23,0))</f>
        <v>2</v>
      </c>
      <c r="BD5" s="4">
        <f t="array" ref="BD5" xml:space="preserve"> VLOOKUP(AY5, $Z$3:$AC$23, 4,FALSE)</f>
        <v>15.31</v>
      </c>
      <c r="BE5" s="4" t="str">
        <f t="array" ref="BE5">VLOOKUP(AY5, $AL$3:$AM$23, 2,FALSE)</f>
        <v>Carrier Delay</v>
      </c>
      <c r="BF5" s="4" t="str">
        <f t="array" ref="BF5">VLOOKUP(AY5, $AL$3:$AS$23, 8,FALSE)</f>
        <v>Deviates from Network</v>
      </c>
      <c r="BG5" s="4">
        <f t="array" ref="BG5">VLOOKUP(AY5, $M$3:$O$23,3,FALSE)</f>
        <v>0.46</v>
      </c>
      <c r="BH5" s="4" t="str">
        <f t="array" ref="BH5">VLOOKUP(AY5, q5_airline_mom_trend,8,FALSE)</f>
        <v>Stable</v>
      </c>
      <c r="BL5" s="13" t="s">
        <v>167</v>
      </c>
      <c r="BM5" s="15">
        <v>86210</v>
      </c>
      <c r="BN5" s="15">
        <v>34.86</v>
      </c>
      <c r="BO5" s="15">
        <v>54.32</v>
      </c>
      <c r="BR5" s="4" t="s">
        <v>148</v>
      </c>
      <c r="BS5" s="4">
        <f t="array" ref="BS5">VLOOKUP(BR5,$B$3:$D$23,3,FALSE)</f>
        <v>38.340000000000003</v>
      </c>
      <c r="BT5" s="4">
        <f t="array" ref="BT5">VLOOKUP(BR5,$Z$3:$AC$23,4,FALSE)</f>
        <v>15.31</v>
      </c>
      <c r="CB5" s="4" t="s">
        <v>171</v>
      </c>
      <c r="CC5" s="35">
        <v>0.56279999999999997</v>
      </c>
      <c r="CD5" s="35">
        <v>0.36659999999999998</v>
      </c>
      <c r="CE5" s="4" t="s">
        <v>202</v>
      </c>
    </row>
    <row r="6" spans="1:85" x14ac:dyDescent="0.2">
      <c r="A6" s="4">
        <v>3</v>
      </c>
      <c r="B6" s="4" t="s">
        <v>151</v>
      </c>
      <c r="C6" s="4">
        <v>15497</v>
      </c>
      <c r="D6" s="4">
        <v>39.85</v>
      </c>
      <c r="E6" s="4">
        <v>26.8</v>
      </c>
      <c r="F6" s="4" t="s">
        <v>149</v>
      </c>
      <c r="G6" s="4">
        <v>3</v>
      </c>
      <c r="H6" s="4" t="s">
        <v>150</v>
      </c>
      <c r="M6" s="4" t="s">
        <v>168</v>
      </c>
      <c r="N6" s="4">
        <v>11</v>
      </c>
      <c r="O6" s="4">
        <v>-0.16</v>
      </c>
      <c r="P6" s="4">
        <v>-5.55</v>
      </c>
      <c r="Q6" s="4">
        <v>5.84</v>
      </c>
      <c r="R6" s="4">
        <v>5</v>
      </c>
      <c r="S6" s="4">
        <v>6</v>
      </c>
      <c r="T6" s="4" t="s">
        <v>182</v>
      </c>
      <c r="Y6" s="4">
        <v>3</v>
      </c>
      <c r="Z6" s="4" t="s">
        <v>170</v>
      </c>
      <c r="AA6" s="4">
        <v>45261</v>
      </c>
      <c r="AB6" s="4">
        <v>15639</v>
      </c>
      <c r="AC6" s="4">
        <v>34.549999999999997</v>
      </c>
      <c r="AD6" s="4">
        <v>33.04</v>
      </c>
      <c r="AE6" s="4">
        <v>32.4</v>
      </c>
      <c r="AF6" s="4">
        <v>54.33</v>
      </c>
      <c r="AG6" s="4" t="s">
        <v>191</v>
      </c>
      <c r="AL6" s="4" t="s">
        <v>148</v>
      </c>
      <c r="AM6" s="4" t="s">
        <v>202</v>
      </c>
      <c r="AN6" s="35">
        <v>0.53539999999999999</v>
      </c>
      <c r="AO6" s="4" t="s">
        <v>203</v>
      </c>
      <c r="AP6" s="35">
        <v>0.44450000000000001</v>
      </c>
      <c r="AQ6" s="4">
        <v>3241</v>
      </c>
      <c r="AR6" s="4">
        <v>25.74</v>
      </c>
      <c r="AS6" s="4" t="s">
        <v>204</v>
      </c>
      <c r="AT6" s="4" t="s">
        <v>205</v>
      </c>
      <c r="AY6" s="4" t="s">
        <v>151</v>
      </c>
      <c r="AZ6" s="4">
        <f t="array" ref="AZ6">VLOOKUP(AY6,  $B$3:$C$23,  2, FALSE)</f>
        <v>15497</v>
      </c>
      <c r="BA6" s="4">
        <f t="array" ref="BA6">VLOOKUP(AY6, $B$3:$D$23, 3,FALSE)</f>
        <v>39.85</v>
      </c>
      <c r="BB6" s="4">
        <f t="array" ref="BB6">VLOOKUP(AY6, $B$3:$E$23, 4,FALSE)</f>
        <v>26.8</v>
      </c>
      <c r="BC6" s="4">
        <f t="array" ref="BC6">INDEX($A$4:$A$23,MATCH(AY6,$B$4:$B$23,0))</f>
        <v>3</v>
      </c>
      <c r="BD6" s="4">
        <f t="array" ref="BD6" xml:space="preserve"> VLOOKUP(AY6, $Z$3:$AC$23, 4,FALSE)</f>
        <v>17.66</v>
      </c>
      <c r="BE6" s="4" t="str">
        <f t="array" ref="BE6">VLOOKUP(AY6, $AL$3:$AM$23, 2,FALSE)</f>
        <v>NAS Delay</v>
      </c>
      <c r="BF6" s="4" t="str">
        <f t="array" ref="BF6">VLOOKUP(AY6, $AL$3:$AS$23, 8,FALSE)</f>
        <v>Deviates from Network</v>
      </c>
      <c r="BG6" s="4">
        <f t="array" ref="BG6">VLOOKUP(AY6, $M$3:$O$23,3,FALSE)</f>
        <v>0.87</v>
      </c>
      <c r="BH6" s="4" t="str">
        <f t="array" ref="BH6">VLOOKUP(AY6, q5_airline_mom_trend,8,FALSE)</f>
        <v>Stable</v>
      </c>
      <c r="BL6" s="13" t="s">
        <v>170</v>
      </c>
      <c r="BM6" s="15">
        <v>45261</v>
      </c>
      <c r="BN6" s="15">
        <v>34.549999999999997</v>
      </c>
      <c r="BO6" s="15">
        <v>54.33</v>
      </c>
      <c r="BR6" s="4" t="s">
        <v>151</v>
      </c>
      <c r="BS6" s="4">
        <f t="array" ref="BS6">VLOOKUP(BR6,$B$3:$D$23,3,FALSE)</f>
        <v>39.85</v>
      </c>
      <c r="BT6" s="4">
        <f t="array" ref="BT6">VLOOKUP(BR6,$Z$3:$AC$23,4,FALSE)</f>
        <v>17.66</v>
      </c>
      <c r="CB6" s="4" t="s">
        <v>148</v>
      </c>
      <c r="CC6" s="35">
        <v>0.53539999999999999</v>
      </c>
      <c r="CD6" s="35">
        <v>0.44450000000000001</v>
      </c>
      <c r="CE6" s="4" t="s">
        <v>202</v>
      </c>
    </row>
    <row r="7" spans="1:85" x14ac:dyDescent="0.2">
      <c r="A7" s="4">
        <v>4</v>
      </c>
      <c r="B7" s="4" t="s">
        <v>152</v>
      </c>
      <c r="C7" s="4">
        <v>193552</v>
      </c>
      <c r="D7" s="4">
        <v>44.66</v>
      </c>
      <c r="E7" s="4">
        <v>29.49</v>
      </c>
      <c r="F7" s="4" t="s">
        <v>149</v>
      </c>
      <c r="G7" s="4">
        <v>4</v>
      </c>
      <c r="H7" s="4" t="s">
        <v>153</v>
      </c>
      <c r="M7" s="4" t="s">
        <v>167</v>
      </c>
      <c r="N7" s="4">
        <v>11</v>
      </c>
      <c r="O7" s="4">
        <v>-0.13</v>
      </c>
      <c r="P7" s="4">
        <v>-3.16</v>
      </c>
      <c r="Q7" s="4">
        <v>5.37</v>
      </c>
      <c r="R7" s="4">
        <v>7</v>
      </c>
      <c r="S7" s="4">
        <v>4</v>
      </c>
      <c r="T7" s="4" t="s">
        <v>182</v>
      </c>
      <c r="Y7" s="4">
        <v>4</v>
      </c>
      <c r="Z7" s="4" t="s">
        <v>166</v>
      </c>
      <c r="AA7" s="4">
        <v>64663</v>
      </c>
      <c r="AB7" s="4">
        <v>21806</v>
      </c>
      <c r="AC7" s="4">
        <v>33.72</v>
      </c>
      <c r="AD7" s="4">
        <v>32.979999999999997</v>
      </c>
      <c r="AE7" s="4">
        <v>33.299999999999997</v>
      </c>
      <c r="AF7" s="4">
        <v>53.49</v>
      </c>
      <c r="AG7" s="4" t="s">
        <v>191</v>
      </c>
      <c r="AL7" s="4" t="s">
        <v>165</v>
      </c>
      <c r="AM7" s="4" t="s">
        <v>202</v>
      </c>
      <c r="AN7" s="35">
        <v>0.44040000000000001</v>
      </c>
      <c r="AO7" s="4" t="s">
        <v>206</v>
      </c>
      <c r="AP7" s="35">
        <v>0.23749999999999999</v>
      </c>
      <c r="AQ7" s="4">
        <v>33813</v>
      </c>
      <c r="AR7" s="4">
        <v>35.25</v>
      </c>
      <c r="AS7" s="4" t="s">
        <v>204</v>
      </c>
      <c r="AT7" s="4" t="s">
        <v>207</v>
      </c>
      <c r="AY7" s="4" t="s">
        <v>152</v>
      </c>
      <c r="AZ7" s="4">
        <f t="array" ref="AZ7">VLOOKUP(AY7,  $B$3:$C$23,  2, FALSE)</f>
        <v>193552</v>
      </c>
      <c r="BA7" s="4">
        <f t="array" ref="BA7">VLOOKUP(AY7, $B$3:$D$23, 3,FALSE)</f>
        <v>44.66</v>
      </c>
      <c r="BB7" s="4">
        <f t="array" ref="BB7">VLOOKUP(AY7, $B$3:$E$23, 4,FALSE)</f>
        <v>29.49</v>
      </c>
      <c r="BC7" s="4">
        <f t="array" ref="BC7">INDEX($A$4:$A$23,MATCH(AY7,$B$4:$B$23,0))</f>
        <v>4</v>
      </c>
      <c r="BD7" s="4">
        <f t="array" ref="BD7" xml:space="preserve"> VLOOKUP(AY7, $Z$3:$AC$23, 4,FALSE)</f>
        <v>22.95</v>
      </c>
      <c r="BE7" s="4" t="str">
        <f t="array" ref="BE7">VLOOKUP(AY7, $AL$3:$AM$23, 2,FALSE)</f>
        <v>Late Aircraft Delay</v>
      </c>
      <c r="BF7" s="4" t="str">
        <f t="array" ref="BF7">VLOOKUP(AY7, $AL$3:$AS$23, 8,FALSE)</f>
        <v>Follows Network Pattern</v>
      </c>
      <c r="BG7" s="4">
        <f t="array" ref="BG7">VLOOKUP(AY7, $M$3:$O$23,3,FALSE)</f>
        <v>0.56000000000000005</v>
      </c>
      <c r="BH7" s="4" t="str">
        <f t="array" ref="BH7">VLOOKUP(AY7, q5_airline_mom_trend,8,FALSE)</f>
        <v>Stable</v>
      </c>
      <c r="BL7" s="13" t="s">
        <v>166</v>
      </c>
      <c r="BM7" s="15">
        <v>64663</v>
      </c>
      <c r="BN7" s="15">
        <v>33.72</v>
      </c>
      <c r="BO7" s="15">
        <v>53.49</v>
      </c>
      <c r="BR7" s="4" t="s">
        <v>152</v>
      </c>
      <c r="BS7" s="4">
        <f t="array" ref="BS7">VLOOKUP(BR7,$B$3:$D$23,3,FALSE)</f>
        <v>44.66</v>
      </c>
      <c r="BT7" s="4">
        <f t="array" ref="BT7">VLOOKUP(BR7,$Z$3:$AC$23,4,FALSE)</f>
        <v>22.95</v>
      </c>
      <c r="CB7" s="4" t="s">
        <v>165</v>
      </c>
      <c r="CC7" s="35">
        <v>0.44040000000000001</v>
      </c>
      <c r="CD7" s="35">
        <v>0.23749999999999999</v>
      </c>
      <c r="CE7" s="4" t="s">
        <v>202</v>
      </c>
    </row>
    <row r="8" spans="1:85" x14ac:dyDescent="0.2">
      <c r="A8" s="4">
        <v>5</v>
      </c>
      <c r="B8" s="4" t="s">
        <v>154</v>
      </c>
      <c r="C8" s="4">
        <v>22630</v>
      </c>
      <c r="D8" s="4">
        <v>46.28</v>
      </c>
      <c r="E8" s="4">
        <v>30.17</v>
      </c>
      <c r="F8" s="4" t="s">
        <v>155</v>
      </c>
      <c r="G8" s="4">
        <v>5</v>
      </c>
      <c r="H8" s="4" t="s">
        <v>153</v>
      </c>
      <c r="M8" s="4" t="s">
        <v>162</v>
      </c>
      <c r="N8" s="4">
        <v>11</v>
      </c>
      <c r="O8" s="4">
        <v>-0.04</v>
      </c>
      <c r="P8" s="4">
        <v>-11.06</v>
      </c>
      <c r="Q8" s="4">
        <v>5.82</v>
      </c>
      <c r="R8" s="4">
        <v>5</v>
      </c>
      <c r="S8" s="4">
        <v>6</v>
      </c>
      <c r="T8" s="4" t="s">
        <v>182</v>
      </c>
      <c r="Y8" s="4">
        <v>5</v>
      </c>
      <c r="Z8" s="4" t="s">
        <v>168</v>
      </c>
      <c r="AA8" s="4">
        <v>82411</v>
      </c>
      <c r="AB8" s="4">
        <v>27715</v>
      </c>
      <c r="AC8" s="4">
        <v>33.630000000000003</v>
      </c>
      <c r="AD8" s="4">
        <v>34.6</v>
      </c>
      <c r="AE8" s="4">
        <v>31.77</v>
      </c>
      <c r="AF8" s="4">
        <v>53.15</v>
      </c>
      <c r="AG8" s="4" t="s">
        <v>191</v>
      </c>
      <c r="AL8" s="4" t="s">
        <v>164</v>
      </c>
      <c r="AM8" s="4" t="s">
        <v>202</v>
      </c>
      <c r="AN8" s="35">
        <v>0.40949999999999998</v>
      </c>
      <c r="AO8" s="4" t="s">
        <v>206</v>
      </c>
      <c r="AP8" s="35">
        <v>0.28120000000000001</v>
      </c>
      <c r="AQ8" s="4">
        <v>19297</v>
      </c>
      <c r="AR8" s="4">
        <v>40.81</v>
      </c>
      <c r="AS8" s="4" t="s">
        <v>204</v>
      </c>
      <c r="AT8" s="4" t="s">
        <v>207</v>
      </c>
      <c r="AY8" s="4" t="s">
        <v>154</v>
      </c>
      <c r="AZ8" s="4">
        <f t="array" ref="AZ8">VLOOKUP(AY8,  $B$3:$C$23,  2, FALSE)</f>
        <v>22630</v>
      </c>
      <c r="BA8" s="4">
        <f t="array" ref="BA8">VLOOKUP(AY8, $B$3:$D$23, 3,FALSE)</f>
        <v>46.28</v>
      </c>
      <c r="BB8" s="4">
        <f t="array" ref="BB8">VLOOKUP(AY8, $B$3:$E$23, 4,FALSE)</f>
        <v>30.17</v>
      </c>
      <c r="BC8" s="4">
        <f t="array" ref="BC8">INDEX($A$4:$A$23,MATCH(AY8,$B$4:$B$23,0))</f>
        <v>5</v>
      </c>
      <c r="BD8" s="4">
        <f t="array" ref="BD8" xml:space="preserve"> VLOOKUP(AY8, $Z$3:$AC$23, 4,FALSE)</f>
        <v>24.42</v>
      </c>
      <c r="BE8" s="4" t="str">
        <f t="array" ref="BE8">VLOOKUP(AY8, $AL$3:$AM$23, 2,FALSE)</f>
        <v>Late Aircraft Delay</v>
      </c>
      <c r="BF8" s="4" t="str">
        <f t="array" ref="BF8">VLOOKUP(AY8, $AL$3:$AS$23, 8,FALSE)</f>
        <v>Follows Network Pattern</v>
      </c>
      <c r="BG8" s="4">
        <f t="array" ref="BG8">VLOOKUP(AY8, $M$3:$O$23,3,FALSE)</f>
        <v>0.21</v>
      </c>
      <c r="BH8" s="4" t="str">
        <f t="array" ref="BH8">VLOOKUP(AY8, q5_airline_mom_trend,8,FALSE)</f>
        <v>Stable</v>
      </c>
      <c r="BL8" s="13" t="s">
        <v>168</v>
      </c>
      <c r="BM8" s="15">
        <v>82411</v>
      </c>
      <c r="BN8" s="15">
        <v>33.630000000000003</v>
      </c>
      <c r="BO8" s="15">
        <v>53.15</v>
      </c>
      <c r="BR8" s="4" t="s">
        <v>154</v>
      </c>
      <c r="BS8" s="4">
        <f t="array" ref="BS8">VLOOKUP(BR8,$B$3:$D$23,3,FALSE)</f>
        <v>46.28</v>
      </c>
      <c r="BT8" s="4">
        <f t="array" ref="BT8">VLOOKUP(BR8,$Z$3:$AC$23,4,FALSE)</f>
        <v>24.42</v>
      </c>
      <c r="CB8" s="4" t="s">
        <v>164</v>
      </c>
      <c r="CC8" s="35">
        <v>0.40949999999999998</v>
      </c>
      <c r="CD8" s="35">
        <v>0.28120000000000001</v>
      </c>
      <c r="CE8" s="4" t="s">
        <v>202</v>
      </c>
    </row>
    <row r="9" spans="1:85" x14ac:dyDescent="0.2">
      <c r="A9" s="4">
        <v>6</v>
      </c>
      <c r="B9" s="4" t="s">
        <v>156</v>
      </c>
      <c r="C9" s="4">
        <v>51668</v>
      </c>
      <c r="D9" s="4">
        <v>47.85</v>
      </c>
      <c r="E9" s="4">
        <v>30.43</v>
      </c>
      <c r="F9" s="4" t="s">
        <v>155</v>
      </c>
      <c r="G9" s="4">
        <v>6</v>
      </c>
      <c r="H9" s="4" t="s">
        <v>153</v>
      </c>
      <c r="M9" s="4" t="s">
        <v>159</v>
      </c>
      <c r="N9" s="4">
        <v>11</v>
      </c>
      <c r="O9" s="4">
        <v>7.0000000000000007E-2</v>
      </c>
      <c r="P9" s="4">
        <v>-4.7</v>
      </c>
      <c r="Q9" s="4">
        <v>9.4700000000000006</v>
      </c>
      <c r="R9" s="4">
        <v>6</v>
      </c>
      <c r="S9" s="4">
        <v>5</v>
      </c>
      <c r="T9" s="4" t="s">
        <v>182</v>
      </c>
      <c r="Y9" s="4">
        <v>6</v>
      </c>
      <c r="Z9" s="4" t="s">
        <v>164</v>
      </c>
      <c r="AA9" s="4">
        <v>36103</v>
      </c>
      <c r="AB9" s="4">
        <v>11942</v>
      </c>
      <c r="AC9" s="4">
        <v>33.08</v>
      </c>
      <c r="AD9" s="4">
        <v>32.619999999999997</v>
      </c>
      <c r="AE9" s="4">
        <v>34.299999999999997</v>
      </c>
      <c r="AF9" s="4">
        <v>53.27</v>
      </c>
      <c r="AG9" s="4" t="s">
        <v>191</v>
      </c>
      <c r="AL9" s="4" t="s">
        <v>151</v>
      </c>
      <c r="AM9" s="4" t="s">
        <v>206</v>
      </c>
      <c r="AN9" s="35">
        <v>0.40679999999999999</v>
      </c>
      <c r="AO9" s="4" t="s">
        <v>202</v>
      </c>
      <c r="AP9" s="35">
        <v>0.30819999999999997</v>
      </c>
      <c r="AQ9" s="4">
        <v>12549</v>
      </c>
      <c r="AR9" s="4">
        <v>20.02</v>
      </c>
      <c r="AS9" s="4" t="s">
        <v>204</v>
      </c>
      <c r="AT9" s="4" t="s">
        <v>207</v>
      </c>
      <c r="AY9" s="4" t="s">
        <v>156</v>
      </c>
      <c r="AZ9" s="4">
        <f t="array" ref="AZ9">VLOOKUP(AY9,  $B$3:$C$23,  2, FALSE)</f>
        <v>51668</v>
      </c>
      <c r="BA9" s="4">
        <f t="array" ref="BA9">VLOOKUP(AY9, $B$3:$D$23, 3,FALSE)</f>
        <v>47.85</v>
      </c>
      <c r="BB9" s="4">
        <f t="array" ref="BB9">VLOOKUP(AY9, $B$3:$E$23, 4,FALSE)</f>
        <v>30.43</v>
      </c>
      <c r="BC9" s="4">
        <f t="array" ref="BC9">INDEX($A$4:$A$23,MATCH(AY9,$B$4:$B$23,0))</f>
        <v>6</v>
      </c>
      <c r="BD9" s="4">
        <f t="array" ref="BD9" xml:space="preserve"> VLOOKUP(AY9, $Z$3:$AC$23, 4,FALSE)</f>
        <v>26.53</v>
      </c>
      <c r="BE9" s="4" t="str">
        <f t="array" ref="BE9">VLOOKUP(AY9, $AL$3:$AM$23, 2,FALSE)</f>
        <v>Carrier Delay</v>
      </c>
      <c r="BF9" s="4" t="str">
        <f t="array" ref="BF9">VLOOKUP(AY9, $AL$3:$AS$23, 8,FALSE)</f>
        <v>Deviates from Network</v>
      </c>
      <c r="BG9" s="4">
        <f t="array" ref="BG9">VLOOKUP(AY9, $M$3:$O$23,3,FALSE)</f>
        <v>0.57999999999999996</v>
      </c>
      <c r="BH9" s="4" t="str">
        <f t="array" ref="BH9">VLOOKUP(AY9, q5_airline_mom_trend,8,FALSE)</f>
        <v>Stable</v>
      </c>
      <c r="BL9" s="13" t="s">
        <v>164</v>
      </c>
      <c r="BM9" s="15">
        <v>36103</v>
      </c>
      <c r="BN9" s="15">
        <v>33.08</v>
      </c>
      <c r="BO9" s="15">
        <v>53.27</v>
      </c>
      <c r="BR9" s="4" t="s">
        <v>156</v>
      </c>
      <c r="BS9" s="4">
        <f t="array" ref="BS9">VLOOKUP(BR9,$B$3:$D$23,3,FALSE)</f>
        <v>47.85</v>
      </c>
      <c r="BT9" s="4">
        <f t="array" ref="BT9">VLOOKUP(BR9,$Z$3:$AC$23,4,FALSE)</f>
        <v>26.53</v>
      </c>
      <c r="CB9" s="4" t="s">
        <v>151</v>
      </c>
      <c r="CC9" s="35">
        <v>0.40679999999999999</v>
      </c>
      <c r="CD9" s="35">
        <v>0.30819999999999997</v>
      </c>
      <c r="CE9" s="4" t="s">
        <v>206</v>
      </c>
    </row>
    <row r="10" spans="1:85" x14ac:dyDescent="0.2">
      <c r="A10" s="4">
        <v>7</v>
      </c>
      <c r="B10" s="4" t="s">
        <v>157</v>
      </c>
      <c r="C10" s="4">
        <v>55616</v>
      </c>
      <c r="D10" s="4">
        <v>48.21</v>
      </c>
      <c r="E10" s="4">
        <v>31.37</v>
      </c>
      <c r="F10" s="4" t="s">
        <v>155</v>
      </c>
      <c r="G10" s="4">
        <v>7</v>
      </c>
      <c r="H10" s="4" t="s">
        <v>153</v>
      </c>
      <c r="M10" s="4" t="s">
        <v>160</v>
      </c>
      <c r="N10" s="4">
        <v>11</v>
      </c>
      <c r="O10" s="4">
        <v>0.12</v>
      </c>
      <c r="P10" s="4">
        <v>-5.43</v>
      </c>
      <c r="Q10" s="4">
        <v>7.04</v>
      </c>
      <c r="R10" s="4">
        <v>5</v>
      </c>
      <c r="S10" s="4">
        <v>6</v>
      </c>
      <c r="T10" s="4" t="s">
        <v>182</v>
      </c>
      <c r="Y10" s="4">
        <v>7</v>
      </c>
      <c r="Z10" s="4" t="s">
        <v>160</v>
      </c>
      <c r="AA10" s="4">
        <v>122213</v>
      </c>
      <c r="AB10" s="4">
        <v>39918</v>
      </c>
      <c r="AC10" s="4">
        <v>32.659999999999997</v>
      </c>
      <c r="AD10" s="4">
        <v>32.659999999999997</v>
      </c>
      <c r="AE10" s="4">
        <v>34.67</v>
      </c>
      <c r="AF10" s="4">
        <v>52.68</v>
      </c>
      <c r="AG10" s="4" t="s">
        <v>191</v>
      </c>
      <c r="AL10" s="4" t="s">
        <v>161</v>
      </c>
      <c r="AM10" s="4" t="s">
        <v>206</v>
      </c>
      <c r="AN10" s="35">
        <v>0.40139999999999998</v>
      </c>
      <c r="AO10" s="4" t="s">
        <v>203</v>
      </c>
      <c r="AP10" s="35">
        <v>0.30449999999999999</v>
      </c>
      <c r="AQ10" s="4">
        <v>34843</v>
      </c>
      <c r="AR10" s="4">
        <v>31.82</v>
      </c>
      <c r="AS10" s="4" t="s">
        <v>204</v>
      </c>
      <c r="AT10" s="4" t="s">
        <v>207</v>
      </c>
      <c r="AY10" s="4" t="s">
        <v>157</v>
      </c>
      <c r="AZ10" s="4">
        <f t="array" ref="AZ10">VLOOKUP(AY10,  $B$3:$C$23,  2, FALSE)</f>
        <v>55616</v>
      </c>
      <c r="BA10" s="4">
        <f t="array" ref="BA10">VLOOKUP(AY10, $B$3:$D$23, 3,FALSE)</f>
        <v>48.21</v>
      </c>
      <c r="BB10" s="4">
        <f t="array" ref="BB10">VLOOKUP(AY10, $B$3:$E$23, 4,FALSE)</f>
        <v>31.37</v>
      </c>
      <c r="BC10" s="4">
        <f t="array" ref="BC10">INDEX($A$4:$A$23,MATCH(AY10,$B$4:$B$23,0))</f>
        <v>7</v>
      </c>
      <c r="BD10" s="4">
        <f t="array" ref="BD10" xml:space="preserve"> VLOOKUP(AY10, $Z$3:$AC$23, 4,FALSE)</f>
        <v>26.91</v>
      </c>
      <c r="BE10" s="4" t="str">
        <f t="array" ref="BE10">VLOOKUP(AY10, $AL$3:$AM$23, 2,FALSE)</f>
        <v>Late Aircraft Delay</v>
      </c>
      <c r="BF10" s="4" t="str">
        <f t="array" ref="BF10">VLOOKUP(AY10, $AL$3:$AS$23, 8,FALSE)</f>
        <v>Follows Network Pattern</v>
      </c>
      <c r="BG10" s="4">
        <f t="array" ref="BG10">VLOOKUP(AY10, $M$3:$O$23,3,FALSE)</f>
        <v>0.38</v>
      </c>
      <c r="BH10" s="4" t="str">
        <f t="array" ref="BH10">VLOOKUP(AY10, q5_airline_mom_trend,8,FALSE)</f>
        <v>Stable</v>
      </c>
      <c r="BL10" s="13" t="s">
        <v>160</v>
      </c>
      <c r="BM10" s="15">
        <v>122213</v>
      </c>
      <c r="BN10" s="15">
        <v>32.659999999999997</v>
      </c>
      <c r="BO10" s="15">
        <v>52.68</v>
      </c>
      <c r="BR10" s="4" t="s">
        <v>157</v>
      </c>
      <c r="BS10" s="4">
        <f t="array" ref="BS10">VLOOKUP(BR10,$B$3:$D$23,3,FALSE)</f>
        <v>48.21</v>
      </c>
      <c r="BT10" s="4">
        <f t="array" ref="BT10">VLOOKUP(BR10,$Z$3:$AC$23,4,FALSE)</f>
        <v>26.91</v>
      </c>
      <c r="CB10" s="4" t="s">
        <v>161</v>
      </c>
      <c r="CC10" s="35">
        <v>0.40139999999999998</v>
      </c>
      <c r="CD10" s="35">
        <v>0.30449999999999999</v>
      </c>
      <c r="CE10" s="4" t="s">
        <v>206</v>
      </c>
    </row>
    <row r="11" spans="1:85" x14ac:dyDescent="0.2">
      <c r="A11" s="4">
        <v>8</v>
      </c>
      <c r="B11" s="4" t="s">
        <v>158</v>
      </c>
      <c r="C11" s="4">
        <v>66917</v>
      </c>
      <c r="D11" s="4">
        <v>48.21</v>
      </c>
      <c r="E11" s="4">
        <v>32.31</v>
      </c>
      <c r="F11" s="4" t="s">
        <v>155</v>
      </c>
      <c r="G11" s="4">
        <v>7</v>
      </c>
      <c r="H11" s="4" t="s">
        <v>153</v>
      </c>
      <c r="M11" s="4" t="s">
        <v>158</v>
      </c>
      <c r="N11" s="4">
        <v>11</v>
      </c>
      <c r="O11" s="4">
        <v>0.18</v>
      </c>
      <c r="P11" s="4">
        <v>-5.07</v>
      </c>
      <c r="Q11" s="4">
        <v>5.08</v>
      </c>
      <c r="R11" s="4">
        <v>5</v>
      </c>
      <c r="S11" s="4">
        <v>6</v>
      </c>
      <c r="T11" s="4" t="s">
        <v>182</v>
      </c>
      <c r="Y11" s="4">
        <v>8</v>
      </c>
      <c r="Z11" s="4" t="s">
        <v>163</v>
      </c>
      <c r="AA11" s="4">
        <v>32769</v>
      </c>
      <c r="AB11" s="4">
        <v>10632</v>
      </c>
      <c r="AC11" s="4">
        <v>32.450000000000003</v>
      </c>
      <c r="AD11" s="4">
        <v>33.630000000000003</v>
      </c>
      <c r="AE11" s="4">
        <v>33.93</v>
      </c>
      <c r="AF11" s="4">
        <v>52.48</v>
      </c>
      <c r="AG11" s="4" t="s">
        <v>191</v>
      </c>
      <c r="AL11" s="4" t="s">
        <v>156</v>
      </c>
      <c r="AM11" s="4" t="s">
        <v>202</v>
      </c>
      <c r="AN11" s="35">
        <v>0.39290000000000003</v>
      </c>
      <c r="AO11" s="4" t="s">
        <v>203</v>
      </c>
      <c r="AP11" s="35">
        <v>0.27239999999999998</v>
      </c>
      <c r="AQ11" s="4">
        <v>34809</v>
      </c>
      <c r="AR11" s="4">
        <v>27.9</v>
      </c>
      <c r="AS11" s="4" t="s">
        <v>204</v>
      </c>
      <c r="AT11" s="4" t="s">
        <v>208</v>
      </c>
      <c r="AY11" s="4" t="s">
        <v>158</v>
      </c>
      <c r="AZ11" s="4">
        <f t="array" ref="AZ11">VLOOKUP(AY11,  $B$3:$C$23,  2, FALSE)</f>
        <v>66917</v>
      </c>
      <c r="BA11" s="4">
        <f t="array" ref="BA11">VLOOKUP(AY11, $B$3:$D$23, 3,FALSE)</f>
        <v>48.21</v>
      </c>
      <c r="BB11" s="4">
        <f t="array" ref="BB11">VLOOKUP(AY11, $B$3:$E$23, 4,FALSE)</f>
        <v>32.31</v>
      </c>
      <c r="BC11" s="4">
        <f t="array" ref="BC11">INDEX($A$4:$A$23,MATCH(AY11,$B$4:$B$23,0))</f>
        <v>8</v>
      </c>
      <c r="BD11" s="4">
        <f t="array" ref="BD11" xml:space="preserve"> VLOOKUP(AY11, $Z$3:$AC$23, 4,FALSE)</f>
        <v>26.74</v>
      </c>
      <c r="BE11" s="4" t="str">
        <f t="array" ref="BE11">VLOOKUP(AY11, $AL$3:$AM$23, 2,FALSE)</f>
        <v>Late Aircraft Delay</v>
      </c>
      <c r="BF11" s="4" t="str">
        <f t="array" ref="BF11">VLOOKUP(AY11, $AL$3:$AS$23, 8,FALSE)</f>
        <v>Follows Network Pattern</v>
      </c>
      <c r="BG11" s="4">
        <f t="array" ref="BG11">VLOOKUP(AY11, $M$3:$O$23,3,FALSE)</f>
        <v>0.18</v>
      </c>
      <c r="BH11" s="4" t="str">
        <f t="array" ref="BH11">VLOOKUP(AY11, q5_airline_mom_trend,8,FALSE)</f>
        <v>Stable</v>
      </c>
      <c r="BL11" s="13" t="s">
        <v>163</v>
      </c>
      <c r="BM11" s="15">
        <v>32769</v>
      </c>
      <c r="BN11" s="15">
        <v>32.450000000000003</v>
      </c>
      <c r="BO11" s="15">
        <v>52.48</v>
      </c>
      <c r="BR11" s="4" t="s">
        <v>158</v>
      </c>
      <c r="BS11" s="4">
        <f t="array" ref="BS11">VLOOKUP(BR11,$B$3:$D$23,3,FALSE)</f>
        <v>48.21</v>
      </c>
      <c r="BT11" s="4">
        <f t="array" ref="BT11">VLOOKUP(BR11,$Z$3:$AC$23,4,FALSE)</f>
        <v>26.74</v>
      </c>
      <c r="CB11" s="4" t="s">
        <v>156</v>
      </c>
      <c r="CC11" s="35">
        <v>0.39290000000000003</v>
      </c>
      <c r="CD11" s="35">
        <v>0.27239999999999998</v>
      </c>
      <c r="CE11" s="4" t="s">
        <v>202</v>
      </c>
    </row>
    <row r="12" spans="1:85" x14ac:dyDescent="0.2">
      <c r="A12" s="4">
        <v>9</v>
      </c>
      <c r="B12" s="4" t="s">
        <v>159</v>
      </c>
      <c r="C12" s="4">
        <v>91420</v>
      </c>
      <c r="D12" s="4">
        <v>51.55</v>
      </c>
      <c r="E12" s="4">
        <v>32.71</v>
      </c>
      <c r="F12" s="4" t="s">
        <v>155</v>
      </c>
      <c r="G12" s="4">
        <v>10</v>
      </c>
      <c r="H12" s="4" t="s">
        <v>153</v>
      </c>
      <c r="M12" s="4" t="s">
        <v>154</v>
      </c>
      <c r="N12" s="4">
        <v>11</v>
      </c>
      <c r="O12" s="4">
        <v>0.21</v>
      </c>
      <c r="P12" s="4">
        <v>-4.08</v>
      </c>
      <c r="Q12" s="4">
        <v>6.62</v>
      </c>
      <c r="R12" s="4">
        <v>4</v>
      </c>
      <c r="S12" s="4">
        <v>7</v>
      </c>
      <c r="T12" s="4" t="s">
        <v>182</v>
      </c>
      <c r="Y12" s="4">
        <v>9</v>
      </c>
      <c r="Z12" s="4" t="s">
        <v>165</v>
      </c>
      <c r="AA12" s="4">
        <v>51901</v>
      </c>
      <c r="AB12" s="4">
        <v>16439</v>
      </c>
      <c r="AC12" s="4">
        <v>31.67</v>
      </c>
      <c r="AD12" s="4">
        <v>34.64</v>
      </c>
      <c r="AE12" s="4">
        <v>33.68</v>
      </c>
      <c r="AF12" s="4">
        <v>52.14</v>
      </c>
      <c r="AG12" s="4" t="s">
        <v>191</v>
      </c>
      <c r="AL12" s="4" t="s">
        <v>152</v>
      </c>
      <c r="AM12" s="4" t="s">
        <v>203</v>
      </c>
      <c r="AN12" s="35">
        <v>0.60780000000000001</v>
      </c>
      <c r="AO12" s="4" t="s">
        <v>202</v>
      </c>
      <c r="AP12" s="35">
        <v>0.2296</v>
      </c>
      <c r="AQ12" s="4">
        <v>155577</v>
      </c>
      <c r="AR12" s="4">
        <v>33.770000000000003</v>
      </c>
      <c r="AS12" s="4" t="s">
        <v>209</v>
      </c>
      <c r="AT12" s="4" t="s">
        <v>205</v>
      </c>
      <c r="AY12" s="4" t="s">
        <v>159</v>
      </c>
      <c r="AZ12" s="4">
        <f t="array" ref="AZ12">VLOOKUP(AY12,  $B$3:$C$23,  2, FALSE)</f>
        <v>91420</v>
      </c>
      <c r="BA12" s="4">
        <f t="array" ref="BA12">VLOOKUP(AY12, $B$3:$D$23, 3,FALSE)</f>
        <v>51.55</v>
      </c>
      <c r="BB12" s="4">
        <f t="array" ref="BB12">VLOOKUP(AY12, $B$3:$E$23, 4,FALSE)</f>
        <v>32.71</v>
      </c>
      <c r="BC12" s="4">
        <f t="array" ref="BC12">INDEX($A$4:$A$23,MATCH(AY12,$B$4:$B$23,0))</f>
        <v>9</v>
      </c>
      <c r="BD12" s="4">
        <f t="array" ref="BD12" xml:space="preserve"> VLOOKUP(AY12, $Z$3:$AC$23, 4,FALSE)</f>
        <v>31.22</v>
      </c>
      <c r="BE12" s="4" t="str">
        <f t="array" ref="BE12">VLOOKUP(AY12, $AL$3:$AM$23, 2,FALSE)</f>
        <v>Late Aircraft Delay</v>
      </c>
      <c r="BF12" s="4" t="str">
        <f t="array" ref="BF12">VLOOKUP(AY12, $AL$3:$AS$23, 8,FALSE)</f>
        <v>Follows Network Pattern</v>
      </c>
      <c r="BG12" s="4">
        <f t="array" ref="BG12">VLOOKUP(AY12, $M$3:$O$23,3,FALSE)</f>
        <v>7.0000000000000007E-2</v>
      </c>
      <c r="BH12" s="4" t="str">
        <f t="array" ref="BH12">VLOOKUP(AY12, q5_airline_mom_trend,8,FALSE)</f>
        <v>Stable</v>
      </c>
      <c r="BL12" s="13" t="s">
        <v>165</v>
      </c>
      <c r="BM12" s="15">
        <v>51901</v>
      </c>
      <c r="BN12" s="15">
        <v>31.67</v>
      </c>
      <c r="BO12" s="15">
        <v>52.14</v>
      </c>
      <c r="BR12" s="4" t="s">
        <v>162</v>
      </c>
      <c r="BS12" s="4">
        <f t="array" ref="BS12">VLOOKUP(BR12,$B$3:$D$23,3,FALSE)</f>
        <v>50.08</v>
      </c>
      <c r="BT12" s="4">
        <f t="array" ref="BT12">VLOOKUP(BR12,$Z$3:$AC$23,4,FALSE)</f>
        <v>29.43</v>
      </c>
      <c r="CB12" s="4" t="s">
        <v>152</v>
      </c>
      <c r="CC12" s="35">
        <v>0.60780000000000001</v>
      </c>
      <c r="CD12" s="35">
        <v>0.2296</v>
      </c>
      <c r="CE12" s="4" t="s">
        <v>203</v>
      </c>
    </row>
    <row r="13" spans="1:85" x14ac:dyDescent="0.2">
      <c r="A13" s="4">
        <v>10</v>
      </c>
      <c r="B13" s="4" t="s">
        <v>160</v>
      </c>
      <c r="C13" s="4">
        <v>122213</v>
      </c>
      <c r="D13" s="4">
        <v>52.68</v>
      </c>
      <c r="E13" s="4">
        <v>33.06</v>
      </c>
      <c r="F13" s="4" t="s">
        <v>155</v>
      </c>
      <c r="G13" s="4">
        <v>14</v>
      </c>
      <c r="H13" s="4" t="s">
        <v>153</v>
      </c>
      <c r="M13" s="4" t="s">
        <v>163</v>
      </c>
      <c r="N13" s="4">
        <v>11</v>
      </c>
      <c r="O13" s="4">
        <v>0.28000000000000003</v>
      </c>
      <c r="P13" s="4">
        <v>-2.82</v>
      </c>
      <c r="Q13" s="4">
        <v>7.38</v>
      </c>
      <c r="R13" s="4">
        <v>7</v>
      </c>
      <c r="S13" s="4">
        <v>4</v>
      </c>
      <c r="T13" s="4" t="s">
        <v>182</v>
      </c>
      <c r="Y13" s="4">
        <v>10</v>
      </c>
      <c r="Z13" s="4" t="s">
        <v>161</v>
      </c>
      <c r="AA13" s="4">
        <v>53351</v>
      </c>
      <c r="AB13" s="4">
        <v>16887</v>
      </c>
      <c r="AC13" s="4">
        <v>31.65</v>
      </c>
      <c r="AD13" s="4">
        <v>34.520000000000003</v>
      </c>
      <c r="AE13" s="4">
        <v>33.83</v>
      </c>
      <c r="AF13" s="4">
        <v>51.77</v>
      </c>
      <c r="AG13" s="4" t="s">
        <v>191</v>
      </c>
      <c r="AL13" s="4" t="s">
        <v>162</v>
      </c>
      <c r="AM13" s="4" t="s">
        <v>203</v>
      </c>
      <c r="AN13" s="35">
        <v>0.55559999999999998</v>
      </c>
      <c r="AO13" s="4" t="s">
        <v>206</v>
      </c>
      <c r="AP13" s="35">
        <v>0.27160000000000001</v>
      </c>
      <c r="AQ13" s="4">
        <v>26538</v>
      </c>
      <c r="AR13" s="4">
        <v>45.27</v>
      </c>
      <c r="AS13" s="4" t="s">
        <v>209</v>
      </c>
      <c r="AT13" s="4" t="s">
        <v>205</v>
      </c>
      <c r="AY13" s="4" t="s">
        <v>160</v>
      </c>
      <c r="AZ13" s="4">
        <f t="array" ref="AZ13">VLOOKUP(AY13,  $B$3:$C$23,  2, FALSE)</f>
        <v>122213</v>
      </c>
      <c r="BA13" s="4">
        <f t="array" ref="BA13">VLOOKUP(AY13, $B$3:$D$23, 3,FALSE)</f>
        <v>52.68</v>
      </c>
      <c r="BB13" s="4">
        <f t="array" ref="BB13">VLOOKUP(AY13, $B$3:$E$23, 4,FALSE)</f>
        <v>33.06</v>
      </c>
      <c r="BC13" s="4">
        <f t="array" ref="BC13">INDEX($A$4:$A$23,MATCH(AY13,$B$4:$B$23,0))</f>
        <v>10</v>
      </c>
      <c r="BD13" s="4">
        <f t="array" ref="BD13" xml:space="preserve"> VLOOKUP(AY13, $Z$3:$AC$23, 4,FALSE)</f>
        <v>32.659999999999997</v>
      </c>
      <c r="BE13" s="4" t="str">
        <f t="array" ref="BE13">VLOOKUP(AY13, $AL$3:$AM$23, 2,FALSE)</f>
        <v>Late Aircraft Delay</v>
      </c>
      <c r="BF13" s="4" t="str">
        <f t="array" ref="BF13">VLOOKUP(AY13, $AL$3:$AS$23, 8,FALSE)</f>
        <v>Follows Network Pattern</v>
      </c>
      <c r="BG13" s="4">
        <f t="array" ref="BG13">VLOOKUP(AY13, $M$3:$O$23,3,FALSE)</f>
        <v>0.12</v>
      </c>
      <c r="BH13" s="4" t="str">
        <f t="array" ref="BH13">VLOOKUP(AY13, q5_airline_mom_trend,8,FALSE)</f>
        <v>Stable</v>
      </c>
      <c r="BL13" s="13" t="s">
        <v>161</v>
      </c>
      <c r="BM13" s="15">
        <v>53351</v>
      </c>
      <c r="BN13" s="15">
        <v>31.65</v>
      </c>
      <c r="BO13" s="15">
        <v>51.77</v>
      </c>
      <c r="BR13" s="4" t="s">
        <v>159</v>
      </c>
      <c r="BS13" s="4">
        <f t="array" ref="BS13">VLOOKUP(BR13,$B$3:$D$23,3,FALSE)</f>
        <v>51.55</v>
      </c>
      <c r="BT13" s="4">
        <f t="array" ref="BT13">VLOOKUP(BR13,$Z$3:$AC$23,4,FALSE)</f>
        <v>31.22</v>
      </c>
      <c r="CB13" s="4" t="s">
        <v>162</v>
      </c>
      <c r="CC13" s="35">
        <v>0.55559999999999998</v>
      </c>
      <c r="CD13" s="35">
        <v>0.27160000000000001</v>
      </c>
      <c r="CE13" s="4" t="s">
        <v>203</v>
      </c>
    </row>
    <row r="14" spans="1:85" x14ac:dyDescent="0.2">
      <c r="A14" s="4">
        <v>11</v>
      </c>
      <c r="B14" s="4" t="s">
        <v>161</v>
      </c>
      <c r="C14" s="4">
        <v>53351</v>
      </c>
      <c r="D14" s="4">
        <v>51.77</v>
      </c>
      <c r="E14" s="4">
        <v>33.159999999999997</v>
      </c>
      <c r="F14" s="4" t="s">
        <v>155</v>
      </c>
      <c r="G14" s="4">
        <v>11</v>
      </c>
      <c r="H14" s="4" t="s">
        <v>153</v>
      </c>
      <c r="M14" s="4" t="s">
        <v>157</v>
      </c>
      <c r="N14" s="4">
        <v>11</v>
      </c>
      <c r="O14" s="4">
        <v>0.38</v>
      </c>
      <c r="P14" s="4">
        <v>-4.0599999999999996</v>
      </c>
      <c r="Q14" s="4">
        <v>4.71</v>
      </c>
      <c r="R14" s="4">
        <v>6</v>
      </c>
      <c r="S14" s="4">
        <v>5</v>
      </c>
      <c r="T14" s="4" t="s">
        <v>182</v>
      </c>
      <c r="Y14" s="4">
        <v>11</v>
      </c>
      <c r="Z14" s="4" t="s">
        <v>159</v>
      </c>
      <c r="AA14" s="4">
        <v>91420</v>
      </c>
      <c r="AB14" s="4">
        <v>28544</v>
      </c>
      <c r="AC14" s="4">
        <v>31.22</v>
      </c>
      <c r="AD14" s="4">
        <v>33.869999999999997</v>
      </c>
      <c r="AE14" s="4">
        <v>34.909999999999997</v>
      </c>
      <c r="AF14" s="4">
        <v>51.55</v>
      </c>
      <c r="AG14" s="4" t="s">
        <v>191</v>
      </c>
      <c r="AL14" s="4" t="s">
        <v>167</v>
      </c>
      <c r="AM14" s="4" t="s">
        <v>203</v>
      </c>
      <c r="AN14" s="35">
        <v>0.47289999999999999</v>
      </c>
      <c r="AO14" s="4" t="s">
        <v>202</v>
      </c>
      <c r="AP14" s="35">
        <v>0.26350000000000001</v>
      </c>
      <c r="AQ14" s="4">
        <v>53406</v>
      </c>
      <c r="AR14" s="4">
        <v>41.47</v>
      </c>
      <c r="AS14" s="4" t="s">
        <v>209</v>
      </c>
      <c r="AT14" s="4" t="s">
        <v>207</v>
      </c>
      <c r="AY14" s="4" t="s">
        <v>161</v>
      </c>
      <c r="AZ14" s="4">
        <f t="array" ref="AZ14">VLOOKUP(AY14,  $B$3:$C$23,  2, FALSE)</f>
        <v>53351</v>
      </c>
      <c r="BA14" s="4">
        <f t="array" ref="BA14">VLOOKUP(AY14, $B$3:$D$23, 3,FALSE)</f>
        <v>51.77</v>
      </c>
      <c r="BB14" s="4">
        <f t="array" ref="BB14">VLOOKUP(AY14, $B$3:$E$23, 4,FALSE)</f>
        <v>33.159999999999997</v>
      </c>
      <c r="BC14" s="4">
        <f t="array" ref="BC14">INDEX($A$4:$A$23,MATCH(AY14,$B$4:$B$23,0))</f>
        <v>11</v>
      </c>
      <c r="BD14" s="4">
        <f t="array" ref="BD14" xml:space="preserve"> VLOOKUP(AY14, $Z$3:$AC$23, 4,FALSE)</f>
        <v>31.65</v>
      </c>
      <c r="BE14" s="4" t="str">
        <f t="array" ref="BE14">VLOOKUP(AY14, $AL$3:$AM$23, 2,FALSE)</f>
        <v>NAS Delay</v>
      </c>
      <c r="BF14" s="4" t="str">
        <f t="array" ref="BF14">VLOOKUP(AY14, $AL$3:$AS$23, 8,FALSE)</f>
        <v>Deviates from Network</v>
      </c>
      <c r="BG14" s="4">
        <f t="array" ref="BG14">VLOOKUP(AY14, $M$3:$O$23,3,FALSE)</f>
        <v>0.5</v>
      </c>
      <c r="BH14" s="4" t="str">
        <f t="array" ref="BH14">VLOOKUP(AY14, q5_airline_mom_trend,8,FALSE)</f>
        <v>Stable</v>
      </c>
      <c r="BL14" s="13" t="s">
        <v>159</v>
      </c>
      <c r="BM14" s="15">
        <v>91420</v>
      </c>
      <c r="BN14" s="15">
        <v>31.22</v>
      </c>
      <c r="BO14" s="15">
        <v>51.55</v>
      </c>
      <c r="BR14" s="4" t="s">
        <v>161</v>
      </c>
      <c r="BS14" s="4">
        <f t="array" ref="BS14">VLOOKUP(BR14,$B$3:$D$23,3,FALSE)</f>
        <v>51.77</v>
      </c>
      <c r="BT14" s="4">
        <f t="array" ref="BT14">VLOOKUP(BR14,$Z$3:$AC$23,4,FALSE)</f>
        <v>31.65</v>
      </c>
      <c r="CB14" s="4" t="s">
        <v>167</v>
      </c>
      <c r="CC14" s="35">
        <v>0.47289999999999999</v>
      </c>
      <c r="CD14" s="35">
        <v>0.26350000000000001</v>
      </c>
      <c r="CE14" s="4" t="s">
        <v>203</v>
      </c>
    </row>
    <row r="15" spans="1:85" x14ac:dyDescent="0.2">
      <c r="A15" s="4">
        <v>12</v>
      </c>
      <c r="B15" s="4" t="s">
        <v>162</v>
      </c>
      <c r="C15" s="4">
        <v>43174</v>
      </c>
      <c r="D15" s="4">
        <v>50.08</v>
      </c>
      <c r="E15" s="4">
        <v>33.19</v>
      </c>
      <c r="F15" s="4" t="s">
        <v>155</v>
      </c>
      <c r="G15" s="4">
        <v>9</v>
      </c>
      <c r="H15" s="4" t="s">
        <v>153</v>
      </c>
      <c r="M15" s="4" t="s">
        <v>148</v>
      </c>
      <c r="N15" s="4">
        <v>11</v>
      </c>
      <c r="O15" s="4">
        <v>0.46</v>
      </c>
      <c r="P15" s="4">
        <v>-6.34</v>
      </c>
      <c r="Q15" s="4">
        <v>6.86</v>
      </c>
      <c r="R15" s="4">
        <v>6</v>
      </c>
      <c r="S15" s="4">
        <v>5</v>
      </c>
      <c r="T15" s="4" t="s">
        <v>182</v>
      </c>
      <c r="Y15" s="4">
        <v>12</v>
      </c>
      <c r="Z15" s="4" t="s">
        <v>162</v>
      </c>
      <c r="AA15" s="4">
        <v>43174</v>
      </c>
      <c r="AB15" s="4">
        <v>12705</v>
      </c>
      <c r="AC15" s="4">
        <v>29.43</v>
      </c>
      <c r="AD15" s="4">
        <v>37.799999999999997</v>
      </c>
      <c r="AE15" s="4">
        <v>32.770000000000003</v>
      </c>
      <c r="AF15" s="4">
        <v>50.08</v>
      </c>
      <c r="AG15" s="4" t="s">
        <v>192</v>
      </c>
      <c r="AL15" s="4" t="s">
        <v>159</v>
      </c>
      <c r="AM15" s="4" t="s">
        <v>203</v>
      </c>
      <c r="AN15" s="35">
        <v>0.4496</v>
      </c>
      <c r="AO15" s="4" t="s">
        <v>202</v>
      </c>
      <c r="AP15" s="35">
        <v>0.25769999999999998</v>
      </c>
      <c r="AQ15" s="4">
        <v>61943</v>
      </c>
      <c r="AR15" s="4">
        <v>34.21</v>
      </c>
      <c r="AS15" s="4" t="s">
        <v>209</v>
      </c>
      <c r="AT15" s="4" t="s">
        <v>207</v>
      </c>
      <c r="AY15" s="4" t="s">
        <v>162</v>
      </c>
      <c r="AZ15" s="4">
        <f t="array" ref="AZ15">VLOOKUP(AY15,  $B$3:$C$23,  2, FALSE)</f>
        <v>43174</v>
      </c>
      <c r="BA15" s="4">
        <f t="array" ref="BA15">VLOOKUP(AY15, $B$3:$D$23, 3,FALSE)</f>
        <v>50.08</v>
      </c>
      <c r="BB15" s="4">
        <f t="array" ref="BB15">VLOOKUP(AY15, $B$3:$E$23, 4,FALSE)</f>
        <v>33.19</v>
      </c>
      <c r="BC15" s="4">
        <f t="array" ref="BC15">INDEX($A$4:$A$23,MATCH(AY15,$B$4:$B$23,0))</f>
        <v>12</v>
      </c>
      <c r="BD15" s="4">
        <f t="array" ref="BD15" xml:space="preserve"> VLOOKUP(AY15, $Z$3:$AC$23, 4,FALSE)</f>
        <v>29.43</v>
      </c>
      <c r="BE15" s="4" t="str">
        <f t="array" ref="BE15">VLOOKUP(AY15, $AL$3:$AM$23, 2,FALSE)</f>
        <v>Late Aircraft Delay</v>
      </c>
      <c r="BF15" s="4" t="str">
        <f t="array" ref="BF15">VLOOKUP(AY15, $AL$3:$AS$23, 8,FALSE)</f>
        <v>Follows Network Pattern</v>
      </c>
      <c r="BG15" s="4">
        <f t="array" ref="BG15">VLOOKUP(AY15, $M$3:$O$23,3,FALSE)</f>
        <v>-0.04</v>
      </c>
      <c r="BH15" s="4" t="str">
        <f t="array" ref="BH15">VLOOKUP(AY15, q5_airline_mom_trend,8,FALSE)</f>
        <v>Stable</v>
      </c>
      <c r="BL15" s="13" t="s">
        <v>162</v>
      </c>
      <c r="BM15" s="15">
        <v>43174</v>
      </c>
      <c r="BN15" s="15">
        <v>29.43</v>
      </c>
      <c r="BO15" s="15">
        <v>50.08</v>
      </c>
      <c r="BR15" s="4" t="s">
        <v>165</v>
      </c>
      <c r="BS15" s="4">
        <f t="array" ref="BS15">VLOOKUP(BR15,$B$3:$D$23,3,FALSE)</f>
        <v>52.14</v>
      </c>
      <c r="BT15" s="4">
        <f t="array" ref="BT15">VLOOKUP(BR15,$Z$3:$AC$23,4,FALSE)</f>
        <v>31.67</v>
      </c>
      <c r="CB15" s="4" t="s">
        <v>159</v>
      </c>
      <c r="CC15" s="35">
        <v>0.4496</v>
      </c>
      <c r="CD15" s="35">
        <v>0.25769999999999998</v>
      </c>
      <c r="CE15" s="4" t="s">
        <v>203</v>
      </c>
    </row>
    <row r="16" spans="1:85" x14ac:dyDescent="0.2">
      <c r="A16" s="4">
        <v>13</v>
      </c>
      <c r="B16" s="4" t="s">
        <v>163</v>
      </c>
      <c r="C16" s="4">
        <v>32769</v>
      </c>
      <c r="D16" s="4">
        <v>52.48</v>
      </c>
      <c r="E16" s="4">
        <v>33.409999999999997</v>
      </c>
      <c r="F16" s="4" t="s">
        <v>155</v>
      </c>
      <c r="G16" s="4">
        <v>13</v>
      </c>
      <c r="H16" s="4" t="s">
        <v>153</v>
      </c>
      <c r="M16" s="4" t="s">
        <v>161</v>
      </c>
      <c r="N16" s="4">
        <v>11</v>
      </c>
      <c r="O16" s="4">
        <v>0.5</v>
      </c>
      <c r="P16" s="4">
        <v>-3.9</v>
      </c>
      <c r="Q16" s="4">
        <v>4.24</v>
      </c>
      <c r="R16" s="4">
        <v>4</v>
      </c>
      <c r="S16" s="4">
        <v>7</v>
      </c>
      <c r="T16" s="4" t="s">
        <v>182</v>
      </c>
      <c r="Y16" s="4">
        <v>13</v>
      </c>
      <c r="Z16" s="4" t="s">
        <v>157</v>
      </c>
      <c r="AA16" s="4">
        <v>55616</v>
      </c>
      <c r="AB16" s="4">
        <v>14964</v>
      </c>
      <c r="AC16" s="4">
        <v>26.91</v>
      </c>
      <c r="AD16" s="4">
        <v>38.06</v>
      </c>
      <c r="AE16" s="4">
        <v>35.04</v>
      </c>
      <c r="AF16" s="4">
        <v>48.21</v>
      </c>
      <c r="AG16" s="4" t="s">
        <v>192</v>
      </c>
      <c r="AL16" s="4" t="s">
        <v>169</v>
      </c>
      <c r="AM16" s="4" t="s">
        <v>203</v>
      </c>
      <c r="AN16" s="35">
        <v>0.44180000000000003</v>
      </c>
      <c r="AO16" s="4" t="s">
        <v>206</v>
      </c>
      <c r="AP16" s="35">
        <v>0.33329999999999999</v>
      </c>
      <c r="AQ16" s="4">
        <v>22249</v>
      </c>
      <c r="AR16" s="4">
        <v>37.590000000000003</v>
      </c>
      <c r="AS16" s="4" t="s">
        <v>209</v>
      </c>
      <c r="AT16" s="4" t="s">
        <v>207</v>
      </c>
      <c r="AY16" s="4" t="s">
        <v>163</v>
      </c>
      <c r="AZ16" s="4">
        <f t="array" ref="AZ16">VLOOKUP(AY16,  $B$3:$C$23,  2, FALSE)</f>
        <v>32769</v>
      </c>
      <c r="BA16" s="4">
        <f t="array" ref="BA16">VLOOKUP(AY16, $B$3:$D$23, 3,FALSE)</f>
        <v>52.48</v>
      </c>
      <c r="BB16" s="4">
        <f t="array" ref="BB16">VLOOKUP(AY16, $B$3:$E$23, 4,FALSE)</f>
        <v>33.409999999999997</v>
      </c>
      <c r="BC16" s="4">
        <f t="array" ref="BC16">INDEX($A$4:$A$23,MATCH(AY16,$B$4:$B$23,0))</f>
        <v>13</v>
      </c>
      <c r="BD16" s="4">
        <f t="array" ref="BD16" xml:space="preserve"> VLOOKUP(AY16, $Z$3:$AC$23, 4,FALSE)</f>
        <v>32.450000000000003</v>
      </c>
      <c r="BE16" s="4" t="str">
        <f t="array" ref="BE16">VLOOKUP(AY16, $AL$3:$AM$23, 2,FALSE)</f>
        <v>Late Aircraft Delay</v>
      </c>
      <c r="BF16" s="4" t="str">
        <f t="array" ref="BF16">VLOOKUP(AY16, $AL$3:$AS$23, 8,FALSE)</f>
        <v>Follows Network Pattern</v>
      </c>
      <c r="BG16" s="4">
        <f t="array" ref="BG16">VLOOKUP(AY16, $M$3:$O$23,3,FALSE)</f>
        <v>0.28000000000000003</v>
      </c>
      <c r="BH16" s="4" t="str">
        <f t="array" ref="BH16">VLOOKUP(AY16, q5_airline_mom_trend,8,FALSE)</f>
        <v>Stable</v>
      </c>
      <c r="BL16" s="13" t="s">
        <v>157</v>
      </c>
      <c r="BM16" s="15">
        <v>55616</v>
      </c>
      <c r="BN16" s="15">
        <v>26.91</v>
      </c>
      <c r="BO16" s="15">
        <v>48.21</v>
      </c>
      <c r="BR16" s="4" t="s">
        <v>163</v>
      </c>
      <c r="BS16" s="4">
        <f t="array" ref="BS16">VLOOKUP(BR16,$B$3:$D$23,3,FALSE)</f>
        <v>52.48</v>
      </c>
      <c r="BT16" s="4">
        <f t="array" ref="BT16">VLOOKUP(BR16,$Z$3:$AC$23,4,FALSE)</f>
        <v>32.450000000000003</v>
      </c>
      <c r="CB16" s="4" t="s">
        <v>169</v>
      </c>
      <c r="CC16" s="35">
        <v>0.44180000000000003</v>
      </c>
      <c r="CD16" s="35">
        <v>0.33329999999999999</v>
      </c>
      <c r="CE16" s="4" t="s">
        <v>203</v>
      </c>
    </row>
    <row r="17" spans="1:83" x14ac:dyDescent="0.2">
      <c r="A17" s="4">
        <v>14</v>
      </c>
      <c r="B17" s="4" t="s">
        <v>164</v>
      </c>
      <c r="C17" s="4">
        <v>36103</v>
      </c>
      <c r="D17" s="4">
        <v>53.27</v>
      </c>
      <c r="E17" s="4">
        <v>33.700000000000003</v>
      </c>
      <c r="F17" s="4" t="s">
        <v>155</v>
      </c>
      <c r="G17" s="4">
        <v>16</v>
      </c>
      <c r="H17" s="4" t="s">
        <v>153</v>
      </c>
      <c r="M17" s="4" t="s">
        <v>152</v>
      </c>
      <c r="N17" s="4">
        <v>11</v>
      </c>
      <c r="O17" s="4">
        <v>0.56000000000000005</v>
      </c>
      <c r="P17" s="4">
        <v>-6.3</v>
      </c>
      <c r="Q17" s="4">
        <v>9.9600000000000009</v>
      </c>
      <c r="R17" s="4">
        <v>6</v>
      </c>
      <c r="S17" s="4">
        <v>5</v>
      </c>
      <c r="T17" s="4" t="s">
        <v>182</v>
      </c>
      <c r="Y17" s="4">
        <v>14</v>
      </c>
      <c r="Z17" s="4" t="s">
        <v>158</v>
      </c>
      <c r="AA17" s="4">
        <v>66917</v>
      </c>
      <c r="AB17" s="4">
        <v>17896</v>
      </c>
      <c r="AC17" s="4">
        <v>26.74</v>
      </c>
      <c r="AD17" s="4">
        <v>39.479999999999997</v>
      </c>
      <c r="AE17" s="4">
        <v>33.770000000000003</v>
      </c>
      <c r="AF17" s="4">
        <v>48.21</v>
      </c>
      <c r="AG17" s="4" t="s">
        <v>192</v>
      </c>
      <c r="AL17" s="4" t="s">
        <v>154</v>
      </c>
      <c r="AM17" s="4" t="s">
        <v>203</v>
      </c>
      <c r="AN17" s="35">
        <v>0.433</v>
      </c>
      <c r="AO17" s="4" t="s">
        <v>202</v>
      </c>
      <c r="AP17" s="35">
        <v>0.33489999999999998</v>
      </c>
      <c r="AQ17" s="4">
        <v>11684</v>
      </c>
      <c r="AR17" s="4">
        <v>38.81</v>
      </c>
      <c r="AS17" s="4" t="s">
        <v>209</v>
      </c>
      <c r="AT17" s="4" t="s">
        <v>207</v>
      </c>
      <c r="AY17" s="4" t="s">
        <v>164</v>
      </c>
      <c r="AZ17" s="4">
        <f t="array" ref="AZ17">VLOOKUP(AY17,  $B$3:$C$23,  2, FALSE)</f>
        <v>36103</v>
      </c>
      <c r="BA17" s="4">
        <f t="array" ref="BA17">VLOOKUP(AY17, $B$3:$D$23, 3,FALSE)</f>
        <v>53.27</v>
      </c>
      <c r="BB17" s="4">
        <f t="array" ref="BB17">VLOOKUP(AY17, $B$3:$E$23, 4,FALSE)</f>
        <v>33.700000000000003</v>
      </c>
      <c r="BC17" s="4">
        <f t="array" ref="BC17">INDEX($A$4:$A$23,MATCH(AY17,$B$4:$B$23,0))</f>
        <v>14</v>
      </c>
      <c r="BD17" s="4">
        <f t="array" ref="BD17" xml:space="preserve"> VLOOKUP(AY17, $Z$3:$AC$23, 4,FALSE)</f>
        <v>33.08</v>
      </c>
      <c r="BE17" s="4" t="str">
        <f t="array" ref="BE17">VLOOKUP(AY17, $AL$3:$AM$23, 2,FALSE)</f>
        <v>Carrier Delay</v>
      </c>
      <c r="BF17" s="4" t="str">
        <f t="array" ref="BF17">VLOOKUP(AY17, $AL$3:$AS$23, 8,FALSE)</f>
        <v>Deviates from Network</v>
      </c>
      <c r="BG17" s="4">
        <f t="array" ref="BG17">VLOOKUP(AY17, $M$3:$O$23,3,FALSE)</f>
        <v>0.94</v>
      </c>
      <c r="BH17" s="4" t="str">
        <f t="array" ref="BH17">VLOOKUP(AY17, q5_airline_mom_trend,8,FALSE)</f>
        <v>Stable</v>
      </c>
      <c r="BL17" s="13" t="s">
        <v>158</v>
      </c>
      <c r="BM17" s="15">
        <v>66917</v>
      </c>
      <c r="BN17" s="15">
        <v>26.74</v>
      </c>
      <c r="BO17" s="15">
        <v>48.21</v>
      </c>
      <c r="BR17" s="4" t="s">
        <v>160</v>
      </c>
      <c r="BS17" s="4">
        <f t="array" ref="BS17">VLOOKUP(BR17,$B$3:$D$23,3,FALSE)</f>
        <v>52.68</v>
      </c>
      <c r="BT17" s="4">
        <f t="array" ref="BT17">VLOOKUP(BR17,$Z$3:$AC$23,4,FALSE)</f>
        <v>32.659999999999997</v>
      </c>
      <c r="CB17" s="4" t="s">
        <v>154</v>
      </c>
      <c r="CC17" s="35">
        <v>0.433</v>
      </c>
      <c r="CD17" s="35">
        <v>0.33489999999999998</v>
      </c>
      <c r="CE17" s="4" t="s">
        <v>203</v>
      </c>
    </row>
    <row r="18" spans="1:83" x14ac:dyDescent="0.2">
      <c r="A18" s="4">
        <v>15</v>
      </c>
      <c r="B18" s="4" t="s">
        <v>165</v>
      </c>
      <c r="C18" s="4">
        <v>51901</v>
      </c>
      <c r="D18" s="4">
        <v>52.14</v>
      </c>
      <c r="E18" s="4">
        <v>33.79</v>
      </c>
      <c r="F18" s="4" t="s">
        <v>155</v>
      </c>
      <c r="G18" s="4">
        <v>12</v>
      </c>
      <c r="H18" s="4" t="s">
        <v>153</v>
      </c>
      <c r="M18" s="4" t="s">
        <v>165</v>
      </c>
      <c r="N18" s="4">
        <v>11</v>
      </c>
      <c r="O18" s="4">
        <v>0.57999999999999996</v>
      </c>
      <c r="P18" s="4">
        <v>-7.03</v>
      </c>
      <c r="Q18" s="4">
        <v>7.93</v>
      </c>
      <c r="R18" s="4">
        <v>5</v>
      </c>
      <c r="S18" s="4">
        <v>6</v>
      </c>
      <c r="T18" s="4" t="s">
        <v>182</v>
      </c>
      <c r="Y18" s="4">
        <v>15</v>
      </c>
      <c r="Z18" s="4" t="s">
        <v>156</v>
      </c>
      <c r="AA18" s="4">
        <v>51668</v>
      </c>
      <c r="AB18" s="4">
        <v>13708</v>
      </c>
      <c r="AC18" s="4">
        <v>26.53</v>
      </c>
      <c r="AD18" s="4">
        <v>37.32</v>
      </c>
      <c r="AE18" s="4">
        <v>36.14</v>
      </c>
      <c r="AF18" s="4">
        <v>47.85</v>
      </c>
      <c r="AG18" s="4" t="s">
        <v>192</v>
      </c>
      <c r="AL18" s="4" t="s">
        <v>166</v>
      </c>
      <c r="AM18" s="4" t="s">
        <v>203</v>
      </c>
      <c r="AN18" s="35">
        <v>0.41639999999999999</v>
      </c>
      <c r="AO18" s="4" t="s">
        <v>206</v>
      </c>
      <c r="AP18" s="35">
        <v>0.29730000000000001</v>
      </c>
      <c r="AQ18" s="4">
        <v>34189</v>
      </c>
      <c r="AR18" s="4">
        <v>42.13</v>
      </c>
      <c r="AS18" s="4" t="s">
        <v>209</v>
      </c>
      <c r="AT18" s="4" t="s">
        <v>207</v>
      </c>
      <c r="AY18" s="4" t="s">
        <v>165</v>
      </c>
      <c r="AZ18" s="4">
        <f t="array" ref="AZ18">VLOOKUP(AY18,  $B$3:$C$23,  2, FALSE)</f>
        <v>51901</v>
      </c>
      <c r="BA18" s="4">
        <f t="array" ref="BA18">VLOOKUP(AY18, $B$3:$D$23, 3,FALSE)</f>
        <v>52.14</v>
      </c>
      <c r="BB18" s="4">
        <f t="array" ref="BB18">VLOOKUP(AY18, $B$3:$E$23, 4,FALSE)</f>
        <v>33.79</v>
      </c>
      <c r="BC18" s="4">
        <f t="array" ref="BC18">INDEX($A$4:$A$23,MATCH(AY18,$B$4:$B$23,0))</f>
        <v>15</v>
      </c>
      <c r="BD18" s="4">
        <f t="array" ref="BD18" xml:space="preserve"> VLOOKUP(AY18, $Z$3:$AC$23, 4,FALSE)</f>
        <v>31.67</v>
      </c>
      <c r="BE18" s="4" t="str">
        <f t="array" ref="BE18">VLOOKUP(AY18, $AL$3:$AM$23, 2,FALSE)</f>
        <v>Carrier Delay</v>
      </c>
      <c r="BF18" s="4" t="str">
        <f t="array" ref="BF18">VLOOKUP(AY18, $AL$3:$AS$23, 8,FALSE)</f>
        <v>Deviates from Network</v>
      </c>
      <c r="BG18" s="4">
        <f t="array" ref="BG18">VLOOKUP(AY18, $M$3:$O$23,3,FALSE)</f>
        <v>0.57999999999999996</v>
      </c>
      <c r="BH18" s="4" t="str">
        <f t="array" ref="BH18">VLOOKUP(AY18, q5_airline_mom_trend,8,FALSE)</f>
        <v>Stable</v>
      </c>
      <c r="BL18" s="13" t="s">
        <v>156</v>
      </c>
      <c r="BM18" s="15">
        <v>51668</v>
      </c>
      <c r="BN18" s="15">
        <v>26.53</v>
      </c>
      <c r="BO18" s="15">
        <v>47.85</v>
      </c>
      <c r="BR18" s="4" t="s">
        <v>168</v>
      </c>
      <c r="BS18" s="4">
        <f t="array" ref="BS18">VLOOKUP(BR18,$B$3:$D$23,3,FALSE)</f>
        <v>53.15</v>
      </c>
      <c r="BT18" s="4">
        <f t="array" ref="BT18">VLOOKUP(BR18,$Z$3:$AC$23,4,FALSE)</f>
        <v>33.630000000000003</v>
      </c>
      <c r="CB18" s="4" t="s">
        <v>166</v>
      </c>
      <c r="CC18" s="35">
        <v>0.41639999999999999</v>
      </c>
      <c r="CD18" s="35">
        <v>0.29730000000000001</v>
      </c>
      <c r="CE18" s="4" t="s">
        <v>203</v>
      </c>
    </row>
    <row r="19" spans="1:83" x14ac:dyDescent="0.2">
      <c r="A19" s="4">
        <v>16</v>
      </c>
      <c r="B19" s="4" t="s">
        <v>166</v>
      </c>
      <c r="C19" s="4">
        <v>64663</v>
      </c>
      <c r="D19" s="4">
        <v>53.49</v>
      </c>
      <c r="E19" s="4">
        <v>33.909999999999997</v>
      </c>
      <c r="F19" s="4" t="s">
        <v>155</v>
      </c>
      <c r="G19" s="4">
        <v>17</v>
      </c>
      <c r="H19" s="4" t="s">
        <v>153</v>
      </c>
      <c r="M19" s="4" t="s">
        <v>156</v>
      </c>
      <c r="N19" s="4">
        <v>11</v>
      </c>
      <c r="O19" s="4">
        <v>0.57999999999999996</v>
      </c>
      <c r="P19" s="4">
        <v>-4.8600000000000003</v>
      </c>
      <c r="Q19" s="4">
        <v>7.04</v>
      </c>
      <c r="R19" s="4">
        <v>6</v>
      </c>
      <c r="S19" s="4">
        <v>5</v>
      </c>
      <c r="T19" s="4" t="s">
        <v>182</v>
      </c>
      <c r="Y19" s="4">
        <v>16</v>
      </c>
      <c r="Z19" s="4" t="s">
        <v>154</v>
      </c>
      <c r="AA19" s="4">
        <v>22630</v>
      </c>
      <c r="AB19" s="4">
        <v>5527</v>
      </c>
      <c r="AC19" s="4">
        <v>24.42</v>
      </c>
      <c r="AD19" s="4">
        <v>39.93</v>
      </c>
      <c r="AE19" s="4">
        <v>35.65</v>
      </c>
      <c r="AF19" s="4">
        <v>46.28</v>
      </c>
      <c r="AG19" s="4" t="s">
        <v>192</v>
      </c>
      <c r="AL19" s="4" t="s">
        <v>168</v>
      </c>
      <c r="AM19" s="4" t="s">
        <v>203</v>
      </c>
      <c r="AN19" s="35">
        <v>0.41310000000000002</v>
      </c>
      <c r="AO19" s="4" t="s">
        <v>202</v>
      </c>
      <c r="AP19" s="35">
        <v>0.3044</v>
      </c>
      <c r="AQ19" s="4">
        <v>39520</v>
      </c>
      <c r="AR19" s="4">
        <v>45.79</v>
      </c>
      <c r="AS19" s="4" t="s">
        <v>209</v>
      </c>
      <c r="AT19" s="4" t="s">
        <v>207</v>
      </c>
      <c r="AY19" s="4" t="s">
        <v>166</v>
      </c>
      <c r="AZ19" s="4">
        <f t="array" ref="AZ19">VLOOKUP(AY19,  $B$3:$C$23,  2, FALSE)</f>
        <v>64663</v>
      </c>
      <c r="BA19" s="4">
        <f t="array" ref="BA19">VLOOKUP(AY19, $B$3:$D$23, 3,FALSE)</f>
        <v>53.49</v>
      </c>
      <c r="BB19" s="4">
        <f t="array" ref="BB19">VLOOKUP(AY19, $B$3:$E$23, 4,FALSE)</f>
        <v>33.909999999999997</v>
      </c>
      <c r="BC19" s="4">
        <f t="array" ref="BC19">INDEX($A$4:$A$23,MATCH(AY19,$B$4:$B$23,0))</f>
        <v>16</v>
      </c>
      <c r="BD19" s="4">
        <f t="array" ref="BD19" xml:space="preserve"> VLOOKUP(AY19, $Z$3:$AC$23, 4,FALSE)</f>
        <v>33.72</v>
      </c>
      <c r="BE19" s="4" t="str">
        <f t="array" ref="BE19">VLOOKUP(AY19, $AL$3:$AM$23, 2,FALSE)</f>
        <v>Late Aircraft Delay</v>
      </c>
      <c r="BF19" s="4" t="str">
        <f t="array" ref="BF19">VLOOKUP(AY19, $AL$3:$AS$23, 8,FALSE)</f>
        <v>Follows Network Pattern</v>
      </c>
      <c r="BG19" s="4">
        <f t="array" ref="BG19">VLOOKUP(AY19, $M$3:$O$23,3,FALSE)</f>
        <v>0.59</v>
      </c>
      <c r="BH19" s="4" t="str">
        <f t="array" ref="BH19">VLOOKUP(AY19, q5_airline_mom_trend,8,FALSE)</f>
        <v>Stable</v>
      </c>
      <c r="BL19" s="13" t="s">
        <v>154</v>
      </c>
      <c r="BM19" s="15">
        <v>22630</v>
      </c>
      <c r="BN19" s="15">
        <v>24.42</v>
      </c>
      <c r="BO19" s="15">
        <v>46.28</v>
      </c>
      <c r="BR19" s="4" t="s">
        <v>164</v>
      </c>
      <c r="BS19" s="4">
        <f t="array" ref="BS19">VLOOKUP(BR19,$B$3:$D$23,3,FALSE)</f>
        <v>53.27</v>
      </c>
      <c r="BT19" s="4">
        <f t="array" ref="BT19">VLOOKUP(BR19,$Z$3:$AC$23,4,FALSE)</f>
        <v>33.08</v>
      </c>
      <c r="CB19" s="4" t="s">
        <v>168</v>
      </c>
      <c r="CC19" s="35">
        <v>0.41310000000000002</v>
      </c>
      <c r="CD19" s="35">
        <v>0.3044</v>
      </c>
      <c r="CE19" s="4" t="s">
        <v>203</v>
      </c>
    </row>
    <row r="20" spans="1:83" x14ac:dyDescent="0.2">
      <c r="A20" s="4">
        <v>17</v>
      </c>
      <c r="B20" s="4" t="s">
        <v>167</v>
      </c>
      <c r="C20" s="4">
        <v>86210</v>
      </c>
      <c r="D20" s="4">
        <v>54.32</v>
      </c>
      <c r="E20" s="4">
        <v>34</v>
      </c>
      <c r="F20" s="4" t="s">
        <v>155</v>
      </c>
      <c r="G20" s="4">
        <v>18</v>
      </c>
      <c r="H20" s="4" t="s">
        <v>153</v>
      </c>
      <c r="M20" s="4" t="s">
        <v>166</v>
      </c>
      <c r="N20" s="4">
        <v>11</v>
      </c>
      <c r="O20" s="4">
        <v>0.59</v>
      </c>
      <c r="P20" s="4">
        <v>-5.62</v>
      </c>
      <c r="Q20" s="4">
        <v>6.04</v>
      </c>
      <c r="R20" s="4">
        <v>5</v>
      </c>
      <c r="S20" s="4">
        <v>6</v>
      </c>
      <c r="T20" s="4" t="s">
        <v>182</v>
      </c>
      <c r="Y20" s="4">
        <v>17</v>
      </c>
      <c r="Z20" s="4" t="s">
        <v>152</v>
      </c>
      <c r="AA20" s="4">
        <v>193552</v>
      </c>
      <c r="AB20" s="4">
        <v>44427</v>
      </c>
      <c r="AC20" s="4">
        <v>22.95</v>
      </c>
      <c r="AD20" s="4">
        <v>42.9</v>
      </c>
      <c r="AE20" s="4">
        <v>34.15</v>
      </c>
      <c r="AF20" s="4">
        <v>44.66</v>
      </c>
      <c r="AG20" s="4" t="s">
        <v>192</v>
      </c>
      <c r="AL20" s="4" t="s">
        <v>163</v>
      </c>
      <c r="AM20" s="4" t="s">
        <v>203</v>
      </c>
      <c r="AN20" s="35">
        <v>0.39639999999999997</v>
      </c>
      <c r="AO20" s="4" t="s">
        <v>202</v>
      </c>
      <c r="AP20" s="35">
        <v>0.36930000000000002</v>
      </c>
      <c r="AQ20" s="4">
        <v>14319</v>
      </c>
      <c r="AR20" s="4">
        <v>47.61</v>
      </c>
      <c r="AS20" s="4" t="s">
        <v>209</v>
      </c>
      <c r="AT20" s="4" t="s">
        <v>208</v>
      </c>
      <c r="AY20" s="4" t="s">
        <v>167</v>
      </c>
      <c r="AZ20" s="4">
        <f t="array" ref="AZ20">VLOOKUP(AY20,  $B$3:$C$23,  2, FALSE)</f>
        <v>86210</v>
      </c>
      <c r="BA20" s="4">
        <f t="array" ref="BA20">VLOOKUP(AY20, $B$3:$D$23, 3,FALSE)</f>
        <v>54.32</v>
      </c>
      <c r="BB20" s="4">
        <f t="array" ref="BB20">VLOOKUP(AY20, $B$3:$E$23, 4,FALSE)</f>
        <v>34</v>
      </c>
      <c r="BC20" s="4">
        <f t="array" ref="BC20">INDEX($A$4:$A$23,MATCH(AY20,$B$4:$B$23,0))</f>
        <v>17</v>
      </c>
      <c r="BD20" s="4">
        <f t="array" ref="BD20" xml:space="preserve"> VLOOKUP(AY20, $Z$3:$AC$23, 4,FALSE)</f>
        <v>34.86</v>
      </c>
      <c r="BE20" s="4" t="str">
        <f t="array" ref="BE20">VLOOKUP(AY20, $AL$3:$AM$23, 2,FALSE)</f>
        <v>Late Aircraft Delay</v>
      </c>
      <c r="BF20" s="4" t="str">
        <f t="array" ref="BF20">VLOOKUP(AY20, $AL$3:$AS$23, 8,FALSE)</f>
        <v>Follows Network Pattern</v>
      </c>
      <c r="BG20" s="4">
        <f t="array" ref="BG20">VLOOKUP(AY20, $M$3:$O$23,3,FALSE)</f>
        <v>-0.13</v>
      </c>
      <c r="BH20" s="4" t="str">
        <f t="array" ref="BH20">VLOOKUP(AY20, q5_airline_mom_trend,8,FALSE)</f>
        <v>Stable</v>
      </c>
      <c r="BL20" s="13" t="s">
        <v>152</v>
      </c>
      <c r="BM20" s="15">
        <v>193552</v>
      </c>
      <c r="BN20" s="15">
        <v>22.95</v>
      </c>
      <c r="BO20" s="15">
        <v>44.66</v>
      </c>
      <c r="BR20" s="4" t="s">
        <v>166</v>
      </c>
      <c r="BS20" s="4">
        <f t="array" ref="BS20">VLOOKUP(BR20,$B$3:$D$23,3,FALSE)</f>
        <v>53.49</v>
      </c>
      <c r="BT20" s="4">
        <f t="array" ref="BT20">VLOOKUP(BR20,$Z$3:$AC$23,4,FALSE)</f>
        <v>33.72</v>
      </c>
      <c r="CB20" s="4" t="s">
        <v>163</v>
      </c>
      <c r="CC20" s="35">
        <v>0.39639999999999997</v>
      </c>
      <c r="CD20" s="35">
        <v>0.36930000000000002</v>
      </c>
      <c r="CE20" s="4" t="s">
        <v>203</v>
      </c>
    </row>
    <row r="21" spans="1:83" x14ac:dyDescent="0.2">
      <c r="A21" s="4">
        <v>18</v>
      </c>
      <c r="B21" s="4" t="s">
        <v>168</v>
      </c>
      <c r="C21" s="4">
        <v>82411</v>
      </c>
      <c r="D21" s="4">
        <v>53.15</v>
      </c>
      <c r="E21" s="4">
        <v>34.39</v>
      </c>
      <c r="F21" s="4" t="s">
        <v>155</v>
      </c>
      <c r="G21" s="4">
        <v>15</v>
      </c>
      <c r="H21" s="4" t="s">
        <v>153</v>
      </c>
      <c r="M21" s="4" t="s">
        <v>169</v>
      </c>
      <c r="N21" s="4">
        <v>11</v>
      </c>
      <c r="O21" s="4">
        <v>0.59</v>
      </c>
      <c r="P21" s="4">
        <v>-10.34</v>
      </c>
      <c r="Q21" s="4">
        <v>10.1</v>
      </c>
      <c r="R21" s="4">
        <v>6</v>
      </c>
      <c r="S21" s="4">
        <v>5</v>
      </c>
      <c r="T21" s="4" t="s">
        <v>182</v>
      </c>
      <c r="Y21" s="4">
        <v>18</v>
      </c>
      <c r="Z21" s="4" t="s">
        <v>151</v>
      </c>
      <c r="AA21" s="4">
        <v>15497</v>
      </c>
      <c r="AB21" s="4">
        <v>2737</v>
      </c>
      <c r="AC21" s="4">
        <v>17.66</v>
      </c>
      <c r="AD21" s="4">
        <v>50.75</v>
      </c>
      <c r="AE21" s="4">
        <v>31.59</v>
      </c>
      <c r="AF21" s="4">
        <v>39.85</v>
      </c>
      <c r="AG21" s="4" t="s">
        <v>193</v>
      </c>
      <c r="AL21" s="4" t="s">
        <v>157</v>
      </c>
      <c r="AM21" s="4" t="s">
        <v>203</v>
      </c>
      <c r="AN21" s="35">
        <v>0.39439999999999997</v>
      </c>
      <c r="AO21" s="4" t="s">
        <v>202</v>
      </c>
      <c r="AP21" s="35">
        <v>0.30430000000000001</v>
      </c>
      <c r="AQ21" s="4">
        <v>30091</v>
      </c>
      <c r="AR21" s="4">
        <v>35.14</v>
      </c>
      <c r="AS21" s="4" t="s">
        <v>209</v>
      </c>
      <c r="AT21" s="4" t="s">
        <v>208</v>
      </c>
      <c r="AY21" s="4" t="s">
        <v>168</v>
      </c>
      <c r="AZ21" s="4">
        <f t="array" ref="AZ21">VLOOKUP(AY21,  $B$3:$C$23,  2, FALSE)</f>
        <v>82411</v>
      </c>
      <c r="BA21" s="4">
        <f t="array" ref="BA21">VLOOKUP(AY21, $B$3:$D$23, 3,FALSE)</f>
        <v>53.15</v>
      </c>
      <c r="BB21" s="4">
        <f t="array" ref="BB21">VLOOKUP(AY21, $B$3:$E$23, 4,FALSE)</f>
        <v>34.39</v>
      </c>
      <c r="BC21" s="4">
        <f t="array" ref="BC21">INDEX($A$4:$A$23,MATCH(AY21,$B$4:$B$23,0))</f>
        <v>18</v>
      </c>
      <c r="BD21" s="4">
        <f t="array" ref="BD21" xml:space="preserve"> VLOOKUP(AY21, $Z$3:$AC$23, 4,FALSE)</f>
        <v>33.630000000000003</v>
      </c>
      <c r="BE21" s="4" t="str">
        <f t="array" ref="BE21">VLOOKUP(AY21, $AL$3:$AM$23, 2,FALSE)</f>
        <v>Late Aircraft Delay</v>
      </c>
      <c r="BF21" s="4" t="str">
        <f t="array" ref="BF21">VLOOKUP(AY21, $AL$3:$AS$23, 8,FALSE)</f>
        <v>Follows Network Pattern</v>
      </c>
      <c r="BG21" s="4">
        <f t="array" ref="BG21">VLOOKUP(AY21, $M$3:$O$23,3,FALSE)</f>
        <v>-0.16</v>
      </c>
      <c r="BH21" s="4" t="str">
        <f t="array" ref="BH21">VLOOKUP(AY21, q5_airline_mom_trend,8,FALSE)</f>
        <v>Stable</v>
      </c>
      <c r="BL21" s="13" t="s">
        <v>151</v>
      </c>
      <c r="BM21" s="15">
        <v>15497</v>
      </c>
      <c r="BN21" s="15">
        <v>17.66</v>
      </c>
      <c r="BO21" s="15">
        <v>39.85</v>
      </c>
      <c r="BR21" s="4" t="s">
        <v>167</v>
      </c>
      <c r="BS21" s="4">
        <f t="array" ref="BS21">VLOOKUP(BR21,$B$3:$D$23,3,FALSE)</f>
        <v>54.32</v>
      </c>
      <c r="BT21" s="4">
        <f t="array" ref="BT21">VLOOKUP(BR21,$Z$3:$AC$23,4,FALSE)</f>
        <v>34.86</v>
      </c>
      <c r="CB21" s="4" t="s">
        <v>157</v>
      </c>
      <c r="CC21" s="35">
        <v>0.39439999999999997</v>
      </c>
      <c r="CD21" s="35">
        <v>0.30430000000000001</v>
      </c>
      <c r="CE21" s="4" t="s">
        <v>203</v>
      </c>
    </row>
    <row r="22" spans="1:83" x14ac:dyDescent="0.2">
      <c r="A22" s="4">
        <v>19</v>
      </c>
      <c r="B22" s="4" t="s">
        <v>169</v>
      </c>
      <c r="C22" s="4">
        <v>33297</v>
      </c>
      <c r="D22" s="4">
        <v>56.85</v>
      </c>
      <c r="E22" s="4">
        <v>34.71</v>
      </c>
      <c r="F22" s="4" t="s">
        <v>155</v>
      </c>
      <c r="G22" s="4">
        <v>20</v>
      </c>
      <c r="H22" s="4" t="s">
        <v>153</v>
      </c>
      <c r="M22" s="4" t="s">
        <v>151</v>
      </c>
      <c r="N22" s="4">
        <v>11</v>
      </c>
      <c r="O22" s="4">
        <v>0.87</v>
      </c>
      <c r="P22" s="4">
        <v>-10.11</v>
      </c>
      <c r="Q22" s="4">
        <v>9.49</v>
      </c>
      <c r="R22" s="4">
        <v>4</v>
      </c>
      <c r="S22" s="4">
        <v>7</v>
      </c>
      <c r="T22" s="4" t="s">
        <v>182</v>
      </c>
      <c r="Y22" s="4">
        <v>19</v>
      </c>
      <c r="Z22" s="4" t="s">
        <v>148</v>
      </c>
      <c r="AA22" s="4">
        <v>4063</v>
      </c>
      <c r="AB22" s="4">
        <v>622</v>
      </c>
      <c r="AC22" s="4">
        <v>15.31</v>
      </c>
      <c r="AD22" s="4">
        <v>52.89</v>
      </c>
      <c r="AE22" s="4">
        <v>31.8</v>
      </c>
      <c r="AF22" s="4">
        <v>38.340000000000003</v>
      </c>
      <c r="AG22" s="4" t="s">
        <v>193</v>
      </c>
      <c r="AL22" s="4" t="s">
        <v>160</v>
      </c>
      <c r="AM22" s="4" t="s">
        <v>203</v>
      </c>
      <c r="AN22" s="35">
        <v>0.3871</v>
      </c>
      <c r="AO22" s="4" t="s">
        <v>202</v>
      </c>
      <c r="AP22" s="35">
        <v>0.30599999999999999</v>
      </c>
      <c r="AQ22" s="4">
        <v>72105</v>
      </c>
      <c r="AR22" s="4">
        <v>34.56</v>
      </c>
      <c r="AS22" s="4" t="s">
        <v>209</v>
      </c>
      <c r="AT22" s="4" t="s">
        <v>208</v>
      </c>
      <c r="AY22" s="4" t="s">
        <v>169</v>
      </c>
      <c r="AZ22" s="4">
        <f t="array" ref="AZ22">VLOOKUP(AY22,  $B$3:$C$23,  2, FALSE)</f>
        <v>33297</v>
      </c>
      <c r="BA22" s="4">
        <f t="array" ref="BA22">VLOOKUP(AY22, $B$3:$D$23, 3,FALSE)</f>
        <v>56.85</v>
      </c>
      <c r="BB22" s="4">
        <f t="array" ref="BB22">VLOOKUP(AY22, $B$3:$E$23, 4,FALSE)</f>
        <v>34.71</v>
      </c>
      <c r="BC22" s="4">
        <f t="array" ref="BC22">INDEX($A$4:$A$23,MATCH(AY22,$B$4:$B$23,0))</f>
        <v>19</v>
      </c>
      <c r="BD22" s="4">
        <f t="array" ref="BD22" xml:space="preserve"> VLOOKUP(AY22, $Z$3:$AC$23, 4,FALSE)</f>
        <v>37.64</v>
      </c>
      <c r="BE22" s="4" t="str">
        <f t="array" ref="BE22">VLOOKUP(AY22, $AL$3:$AM$23, 2,FALSE)</f>
        <v>Late Aircraft Delay</v>
      </c>
      <c r="BF22" s="4" t="str">
        <f t="array" ref="BF22">VLOOKUP(AY22, $AL$3:$AS$23, 8,FALSE)</f>
        <v>Follows Network Pattern</v>
      </c>
      <c r="BG22" s="4">
        <f t="array" ref="BG22">VLOOKUP(AY22, $M$3:$O$23,3,FALSE)</f>
        <v>0.59</v>
      </c>
      <c r="BH22" s="4" t="str">
        <f t="array" ref="BH22">VLOOKUP(AY22, q5_airline_mom_trend,8,FALSE)</f>
        <v>Stable</v>
      </c>
      <c r="BL22" s="13" t="s">
        <v>148</v>
      </c>
      <c r="BM22" s="15">
        <v>4063</v>
      </c>
      <c r="BN22" s="15">
        <v>15.31</v>
      </c>
      <c r="BO22" s="15">
        <v>38.340000000000003</v>
      </c>
      <c r="BR22" s="4" t="s">
        <v>170</v>
      </c>
      <c r="BS22" s="4">
        <f t="array" ref="BS22">VLOOKUP(BR22,$B$3:$D$23,3,FALSE)</f>
        <v>54.33</v>
      </c>
      <c r="BT22" s="4">
        <f t="array" ref="BT22">VLOOKUP(BR22,$Z$3:$AC$23,4,FALSE)</f>
        <v>34.549999999999997</v>
      </c>
      <c r="CB22" s="4" t="s">
        <v>160</v>
      </c>
      <c r="CC22" s="35">
        <v>0.3871</v>
      </c>
      <c r="CD22" s="35">
        <v>0.30599999999999999</v>
      </c>
      <c r="CE22" s="4" t="s">
        <v>203</v>
      </c>
    </row>
    <row r="23" spans="1:83" x14ac:dyDescent="0.2">
      <c r="A23" s="4">
        <v>20</v>
      </c>
      <c r="B23" s="4" t="s">
        <v>170</v>
      </c>
      <c r="C23" s="4">
        <v>45261</v>
      </c>
      <c r="D23" s="4">
        <v>54.33</v>
      </c>
      <c r="E23" s="4">
        <v>34.840000000000003</v>
      </c>
      <c r="F23" s="4" t="s">
        <v>155</v>
      </c>
      <c r="G23" s="4">
        <v>19</v>
      </c>
      <c r="H23" s="4" t="s">
        <v>153</v>
      </c>
      <c r="M23" s="4" t="s">
        <v>164</v>
      </c>
      <c r="N23" s="4">
        <v>11</v>
      </c>
      <c r="O23" s="4">
        <v>0.94</v>
      </c>
      <c r="P23" s="4">
        <v>-3.59</v>
      </c>
      <c r="Q23" s="4">
        <v>7.15</v>
      </c>
      <c r="R23" s="4">
        <v>5</v>
      </c>
      <c r="S23" s="4">
        <v>6</v>
      </c>
      <c r="T23" s="4" t="s">
        <v>182</v>
      </c>
      <c r="Y23" s="4">
        <v>20</v>
      </c>
      <c r="Z23" s="4" t="s">
        <v>171</v>
      </c>
      <c r="AA23" s="4">
        <v>330</v>
      </c>
      <c r="AB23" s="4">
        <v>46</v>
      </c>
      <c r="AC23" s="4">
        <v>13.94</v>
      </c>
      <c r="AD23" s="4">
        <v>53.64</v>
      </c>
      <c r="AE23" s="4">
        <v>32.42</v>
      </c>
      <c r="AF23" s="4">
        <v>37.51</v>
      </c>
      <c r="AG23" s="4" t="s">
        <v>193</v>
      </c>
      <c r="AL23" s="4" t="s">
        <v>158</v>
      </c>
      <c r="AM23" s="4" t="s">
        <v>203</v>
      </c>
      <c r="AN23" s="35">
        <v>0.3679</v>
      </c>
      <c r="AO23" s="4" t="s">
        <v>202</v>
      </c>
      <c r="AP23" s="35">
        <v>0.30309999999999998</v>
      </c>
      <c r="AQ23" s="4">
        <v>38506</v>
      </c>
      <c r="AR23" s="4">
        <v>30.82</v>
      </c>
      <c r="AS23" s="4" t="s">
        <v>209</v>
      </c>
      <c r="AT23" s="4" t="s">
        <v>208</v>
      </c>
      <c r="AY23" s="4" t="s">
        <v>170</v>
      </c>
      <c r="AZ23" s="4">
        <f t="array" ref="AZ23">VLOOKUP(AY23,  $B$3:$C$23,  2, FALSE)</f>
        <v>45261</v>
      </c>
      <c r="BA23" s="4">
        <f t="array" ref="BA23">VLOOKUP(AY23, $B$3:$D$23, 3,FALSE)</f>
        <v>54.33</v>
      </c>
      <c r="BB23" s="4">
        <f t="array" ref="BB23">VLOOKUP(AY23, $B$3:$E$23, 4,FALSE)</f>
        <v>34.840000000000003</v>
      </c>
      <c r="BC23" s="4">
        <f t="array" ref="BC23">INDEX($A$4:$A$23,MATCH(AY23,$B$4:$B$23,0))</f>
        <v>20</v>
      </c>
      <c r="BD23" s="4">
        <f t="array" ref="BD23" xml:space="preserve"> VLOOKUP(AY23, $Z$3:$AC$23, 4,FALSE)</f>
        <v>34.549999999999997</v>
      </c>
      <c r="BE23" s="4" t="str">
        <f t="array" ref="BE23">VLOOKUP(AY23, $AL$3:$AM$23, 2,FALSE)</f>
        <v>Carrier Delay</v>
      </c>
      <c r="BF23" s="4" t="str">
        <f t="array" ref="BF23">VLOOKUP(AY23, $AL$3:$AS$23, 8,FALSE)</f>
        <v>Deviates from Network</v>
      </c>
      <c r="BG23" s="4">
        <f t="array" ref="BG23">VLOOKUP(AY23, $M$3:$O$23,3,FALSE)</f>
        <v>-0.19</v>
      </c>
      <c r="BH23" s="4" t="str">
        <f t="array" ref="BH23">VLOOKUP(AY23, q5_airline_mom_trend,8,FALSE)</f>
        <v>Stable</v>
      </c>
      <c r="BL23" s="13" t="s">
        <v>171</v>
      </c>
      <c r="BM23" s="15">
        <v>330</v>
      </c>
      <c r="BN23" s="15">
        <v>13.94</v>
      </c>
      <c r="BO23" s="15">
        <v>37.51</v>
      </c>
      <c r="BR23" s="4" t="s">
        <v>169</v>
      </c>
      <c r="BS23" s="4">
        <f t="array" ref="BS23">VLOOKUP(BR23,$B$3:$D$23,3,FALSE)</f>
        <v>56.85</v>
      </c>
      <c r="BT23" s="4">
        <f t="array" ref="BT23">VLOOKUP(BR23,$Z$3:$AC$23,4,FALSE)</f>
        <v>37.64</v>
      </c>
      <c r="CB23" s="4" t="s">
        <v>158</v>
      </c>
      <c r="CC23" s="35">
        <v>0.3679</v>
      </c>
      <c r="CD23" s="35">
        <v>0.30309999999999998</v>
      </c>
      <c r="CE23" s="4" t="s">
        <v>203</v>
      </c>
    </row>
    <row r="24" spans="1:83" x14ac:dyDescent="0.2">
      <c r="BL24" s="13" t="s">
        <v>100</v>
      </c>
      <c r="BM24" s="15">
        <v>1153046</v>
      </c>
      <c r="BN24" s="15">
        <v>28.550999999999995</v>
      </c>
      <c r="BO24" s="15">
        <v>49.350999999999999</v>
      </c>
    </row>
    <row r="26" spans="1:83" x14ac:dyDescent="0.2">
      <c r="AY26" s="41" t="s">
        <v>233</v>
      </c>
      <c r="AZ26" s="42"/>
      <c r="BA26" s="42"/>
      <c r="BB26" s="42"/>
      <c r="BC26" s="42"/>
      <c r="BD26" s="42"/>
      <c r="BE26" s="42"/>
      <c r="BF26" s="42"/>
      <c r="BG26" s="42"/>
      <c r="BH26" s="42"/>
    </row>
    <row r="27" spans="1:83" x14ac:dyDescent="0.2">
      <c r="AY27" s="42"/>
      <c r="AZ27" s="42"/>
      <c r="BA27" s="42"/>
      <c r="BB27" s="42"/>
      <c r="BC27" s="42"/>
      <c r="BD27" s="42"/>
      <c r="BE27" s="42"/>
      <c r="BF27" s="42"/>
      <c r="BG27" s="42"/>
      <c r="BH27" s="42"/>
    </row>
    <row r="28" spans="1:83" x14ac:dyDescent="0.2">
      <c r="AY28" s="42"/>
      <c r="AZ28" s="42"/>
      <c r="BA28" s="42"/>
      <c r="BB28" s="42"/>
      <c r="BC28" s="42"/>
      <c r="BD28" s="42"/>
      <c r="BE28" s="42"/>
      <c r="BF28" s="42"/>
      <c r="BG28" s="42"/>
      <c r="BH28" s="42"/>
    </row>
    <row r="29" spans="1:83" x14ac:dyDescent="0.2">
      <c r="AY29" s="42"/>
      <c r="AZ29" s="42"/>
      <c r="BA29" s="42"/>
      <c r="BB29" s="42"/>
      <c r="BC29" s="42"/>
      <c r="BD29" s="42"/>
      <c r="BE29" s="42"/>
      <c r="BF29" s="42"/>
      <c r="BG29" s="42"/>
      <c r="BH29" s="42"/>
    </row>
    <row r="30" spans="1:83" x14ac:dyDescent="0.2">
      <c r="AY30" s="42"/>
      <c r="AZ30" s="42"/>
      <c r="BA30" s="42"/>
      <c r="BB30" s="42"/>
      <c r="BC30" s="42"/>
      <c r="BD30" s="42"/>
      <c r="BE30" s="42"/>
      <c r="BF30" s="42"/>
      <c r="BG30" s="42"/>
      <c r="BH30" s="42"/>
    </row>
    <row r="31" spans="1:83" x14ac:dyDescent="0.2">
      <c r="AY31" s="42"/>
      <c r="AZ31" s="42"/>
      <c r="BA31" s="42"/>
      <c r="BB31" s="42"/>
      <c r="BC31" s="42"/>
      <c r="BD31" s="42"/>
      <c r="BE31" s="42"/>
      <c r="BF31" s="42"/>
      <c r="BG31" s="42"/>
      <c r="BH31" s="42"/>
    </row>
    <row r="32" spans="1:83" x14ac:dyDescent="0.2">
      <c r="AY32" s="42"/>
      <c r="AZ32" s="42"/>
      <c r="BA32" s="42"/>
      <c r="BB32" s="42"/>
      <c r="BC32" s="42"/>
      <c r="BD32" s="42"/>
      <c r="BE32" s="42"/>
      <c r="BF32" s="42"/>
      <c r="BG32" s="42"/>
      <c r="BH32" s="42"/>
    </row>
    <row r="33" spans="51:60" x14ac:dyDescent="0.2">
      <c r="AY33" s="42"/>
      <c r="AZ33" s="42"/>
      <c r="BA33" s="42"/>
      <c r="BB33" s="42"/>
      <c r="BC33" s="42"/>
      <c r="BD33" s="42"/>
      <c r="BE33" s="42"/>
      <c r="BF33" s="42"/>
      <c r="BG33" s="42"/>
      <c r="BH33" s="42"/>
    </row>
    <row r="34" spans="51:60" x14ac:dyDescent="0.2">
      <c r="AY34" s="42"/>
      <c r="AZ34" s="42"/>
      <c r="BA34" s="42"/>
      <c r="BB34" s="42"/>
      <c r="BC34" s="42"/>
      <c r="BD34" s="42"/>
      <c r="BE34" s="42"/>
      <c r="BF34" s="42"/>
      <c r="BG34" s="42"/>
      <c r="BH34" s="42"/>
    </row>
    <row r="35" spans="51:60" x14ac:dyDescent="0.2">
      <c r="AY35" s="42"/>
      <c r="AZ35" s="42"/>
      <c r="BA35" s="42"/>
      <c r="BB35" s="42"/>
      <c r="BC35" s="42"/>
      <c r="BD35" s="42"/>
      <c r="BE35" s="42"/>
      <c r="BF35" s="42"/>
      <c r="BG35" s="42"/>
      <c r="BH35" s="42"/>
    </row>
    <row r="36" spans="51:60" x14ac:dyDescent="0.2">
      <c r="AY36" s="42"/>
      <c r="AZ36" s="42"/>
      <c r="BA36" s="42"/>
      <c r="BB36" s="42"/>
      <c r="BC36" s="42"/>
      <c r="BD36" s="42"/>
      <c r="BE36" s="42"/>
      <c r="BF36" s="42"/>
      <c r="BG36" s="42"/>
      <c r="BH36" s="42"/>
    </row>
    <row r="38" spans="51:60" x14ac:dyDescent="0.2">
      <c r="AY38" s="43"/>
      <c r="AZ38" s="43"/>
      <c r="BA38" s="43"/>
      <c r="BB38" s="43"/>
      <c r="BC38" s="43"/>
    </row>
    <row r="40" spans="51:60" ht="19" x14ac:dyDescent="0.25">
      <c r="AY40" s="44" t="s">
        <v>234</v>
      </c>
      <c r="AZ40" s="44"/>
      <c r="BA40" s="44"/>
      <c r="BB40" s="44"/>
      <c r="BC40" s="44"/>
      <c r="BD40" s="44"/>
      <c r="BE40" s="44"/>
      <c r="BF40" s="44"/>
      <c r="BG40" s="44"/>
      <c r="BH40" s="44"/>
    </row>
    <row r="41" spans="51:60" x14ac:dyDescent="0.2">
      <c r="AY41" s="9" t="s">
        <v>235</v>
      </c>
      <c r="AZ41" s="9"/>
      <c r="BA41" s="9"/>
      <c r="BC41" s="45" t="s">
        <v>158</v>
      </c>
      <c r="BD41" s="45"/>
      <c r="BE41" s="45"/>
    </row>
    <row r="42" spans="51:60" x14ac:dyDescent="0.2">
      <c r="AY42" s="9" t="s">
        <v>236</v>
      </c>
      <c r="AZ42" s="9"/>
      <c r="BA42" s="9"/>
      <c r="BC42" s="8">
        <f>IFERROR(SUMIF($AY$4:$AY$23,BC41,$AZ$4:$AZ$23),"-")</f>
        <v>66917</v>
      </c>
      <c r="BD42" s="8"/>
      <c r="BE42" s="8"/>
    </row>
    <row r="43" spans="51:60" x14ac:dyDescent="0.2">
      <c r="AY43" s="9" t="s">
        <v>237</v>
      </c>
      <c r="AZ43" s="9"/>
      <c r="BA43" s="9"/>
      <c r="BC43" s="8">
        <f>IFERROR(VLOOKUP(BC41,$AY$3:$BA$23,3,FALSE),"-")</f>
        <v>48.21</v>
      </c>
      <c r="BD43" s="8"/>
      <c r="BE43" s="8"/>
    </row>
    <row r="44" spans="51:60" x14ac:dyDescent="0.2">
      <c r="AY44" s="9" t="s">
        <v>238</v>
      </c>
      <c r="AZ44" s="9"/>
      <c r="BA44" s="9"/>
      <c r="BC44" s="8">
        <f>IFERROR(VLOOKUP(BC41,$AY$3:$BD$23,6,FALSE),"-")</f>
        <v>26.74</v>
      </c>
      <c r="BD44" s="8"/>
      <c r="BE44" s="8"/>
    </row>
    <row r="45" spans="51:60" x14ac:dyDescent="0.2">
      <c r="AY45" s="9" t="s">
        <v>239</v>
      </c>
      <c r="AZ45" s="9"/>
      <c r="BA45" s="9"/>
      <c r="BC45" s="8" t="str">
        <f>IFERROR(VLOOKUP(BC41,$AY$3:$BE$23,7,FALSE),"-")</f>
        <v>Late Aircraft Delay</v>
      </c>
      <c r="BD45" s="8"/>
      <c r="BE45" s="8"/>
    </row>
    <row r="51" spans="80:87" x14ac:dyDescent="0.2">
      <c r="CB51" s="40" t="s">
        <v>232</v>
      </c>
      <c r="CC51" s="38"/>
      <c r="CD51" s="38"/>
      <c r="CE51" s="38"/>
      <c r="CF51" s="38"/>
      <c r="CG51" s="38"/>
      <c r="CH51" s="38"/>
      <c r="CI51" s="38"/>
    </row>
    <row r="52" spans="80:87" x14ac:dyDescent="0.2">
      <c r="CB52" s="39"/>
      <c r="CC52" s="39"/>
      <c r="CD52" s="39"/>
      <c r="CE52" s="39"/>
      <c r="CF52" s="39"/>
      <c r="CG52" s="39"/>
      <c r="CH52" s="39"/>
    </row>
  </sheetData>
  <mergeCells count="21">
    <mergeCell ref="AY44:BA44"/>
    <mergeCell ref="AY45:BA45"/>
    <mergeCell ref="BC41:BE41"/>
    <mergeCell ref="BC42:BE42"/>
    <mergeCell ref="BC43:BE43"/>
    <mergeCell ref="BC44:BE44"/>
    <mergeCell ref="BC45:BE45"/>
    <mergeCell ref="CB51:CI51"/>
    <mergeCell ref="AY26:BH36"/>
    <mergeCell ref="AY40:BH40"/>
    <mergeCell ref="AY41:BA41"/>
    <mergeCell ref="AY42:BA42"/>
    <mergeCell ref="AY43:BA43"/>
    <mergeCell ref="AY1:BE1"/>
    <mergeCell ref="BL1:BO1"/>
    <mergeCell ref="BR1:BX1"/>
    <mergeCell ref="CB1:CG1"/>
    <mergeCell ref="A1:I1"/>
    <mergeCell ref="M1:U1"/>
    <mergeCell ref="Y1:AF1"/>
    <mergeCell ref="AL1:AS1"/>
  </mergeCells>
  <conditionalFormatting sqref="BA3:BA23">
    <cfRule type="aboveAverage" dxfId="36" priority="15" aboveAverage="0"/>
    <cfRule type="aboveAverage" dxfId="35" priority="16"/>
    <cfRule type="aboveAverage" dxfId="34" priority="17"/>
  </conditionalFormatting>
  <conditionalFormatting sqref="BB4:BB23">
    <cfRule type="aboveAverage" dxfId="33" priority="13" aboveAverage="0"/>
    <cfRule type="aboveAverage" dxfId="32" priority="14"/>
  </conditionalFormatting>
  <conditionalFormatting sqref="BD4:BD23">
    <cfRule type="aboveAverage" dxfId="31" priority="11" aboveAverage="0"/>
    <cfRule type="aboveAverage" dxfId="30" priority="12"/>
  </conditionalFormatting>
  <conditionalFormatting sqref="BE1:BE25 BE37:BE39 BE46:BE1048576">
    <cfRule type="containsText" dxfId="29" priority="7" operator="containsText" text="Late Aircraft Delay">
      <formula>NOT(ISERROR(SEARCH("Late Aircraft Delay",BE1)))</formula>
    </cfRule>
    <cfRule type="containsText" dxfId="28" priority="8" operator="containsText" text="NAS Delay">
      <formula>NOT(ISERROR(SEARCH("NAS Delay",BE1)))</formula>
    </cfRule>
    <cfRule type="containsText" dxfId="27" priority="9" operator="containsText" text="Carrier Delay">
      <formula>NOT(ISERROR(SEARCH("Carrier Delay",BE1)))</formula>
    </cfRule>
    <cfRule type="containsText" dxfId="26" priority="10" operator="containsText" text="Carrier Delay">
      <formula>NOT(ISERROR(SEARCH("Carrier Delay",BE1)))</formula>
    </cfRule>
  </conditionalFormatting>
  <conditionalFormatting sqref="BF1:BF25 BF37:BF39 BF41:BF1048576">
    <cfRule type="containsText" dxfId="25" priority="5" operator="containsText" text="Follows Network Pattern">
      <formula>NOT(ISERROR(SEARCH("Follows Network Pattern",BF1)))</formula>
    </cfRule>
    <cfRule type="containsText" dxfId="24" priority="6" operator="containsText" text="Deviates from Network">
      <formula>NOT(ISERROR(SEARCH("Deviates from Network",BF1)))</formula>
    </cfRule>
  </conditionalFormatting>
  <conditionalFormatting sqref="BH1:BH25 BH37:BH39 BH41:BH1048576">
    <cfRule type="containsText" dxfId="23" priority="3" operator="containsText" text="Stable">
      <formula>NOT(ISERROR(SEARCH("Stable",BH1)))</formula>
    </cfRule>
    <cfRule type="containsText" dxfId="22" priority="4" operator="containsText" text="Overall Improving">
      <formula>NOT(ISERROR(SEARCH("Overall Improving",BH1)))</formula>
    </cfRule>
  </conditionalFormatting>
  <conditionalFormatting sqref="BD3:BD23">
    <cfRule type="aboveAverage" dxfId="21" priority="2"/>
  </conditionalFormatting>
  <conditionalFormatting sqref="BD1:BD25 BD37:BD39 BD46:BD1048576">
    <cfRule type="aboveAverage" dxfId="20" priority="1"/>
  </conditionalFormatting>
  <dataValidations count="1">
    <dataValidation type="list" allowBlank="1" showInputMessage="1" showErrorMessage="1" sqref="BC41:BE41" xr:uid="{09A9DE07-FC13-AD47-A08A-B7313583592D}">
      <formula1>$AY$4:$AY$23</formula1>
    </dataValidation>
  </dataValidation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C41B-CE31-3C47-BF88-4D65D8D09DC6}">
  <dimension ref="A1:AH166"/>
  <sheetViews>
    <sheetView tabSelected="1" zoomScale="106" workbookViewId="0">
      <selection activeCell="B37" sqref="B37:G37"/>
    </sheetView>
  </sheetViews>
  <sheetFormatPr baseColWidth="10" defaultRowHeight="16" x14ac:dyDescent="0.2"/>
  <cols>
    <col min="1" max="1" width="14.6640625" bestFit="1" customWidth="1"/>
    <col min="2" max="2" width="7.83203125" bestFit="1" customWidth="1"/>
    <col min="3" max="3" width="13.5" bestFit="1" customWidth="1"/>
    <col min="4" max="4" width="11" bestFit="1" customWidth="1"/>
    <col min="5" max="5" width="15.5" bestFit="1" customWidth="1"/>
    <col min="6" max="7" width="17.5" bestFit="1" customWidth="1"/>
    <col min="8" max="8" width="15.83203125" bestFit="1" customWidth="1"/>
    <col min="9" max="16" width="15.6640625" customWidth="1"/>
    <col min="17" max="17" width="10.83203125" style="27"/>
    <col min="19" max="19" width="8.1640625" bestFit="1" customWidth="1"/>
    <col min="20" max="20" width="13.83203125" bestFit="1" customWidth="1"/>
    <col min="21" max="21" width="16.1640625" bestFit="1" customWidth="1"/>
    <col min="22" max="22" width="15.1640625" bestFit="1" customWidth="1"/>
    <col min="23" max="23" width="14.6640625" bestFit="1" customWidth="1"/>
    <col min="24" max="24" width="15.83203125" bestFit="1" customWidth="1"/>
    <col min="25" max="25" width="14.83203125" bestFit="1" customWidth="1"/>
    <col min="26" max="26" width="39.5" bestFit="1" customWidth="1"/>
    <col min="27" max="27" width="19.1640625" bestFit="1" customWidth="1"/>
    <col min="28" max="28" width="10.83203125" style="27"/>
    <col min="30" max="30" width="39.5" bestFit="1" customWidth="1"/>
    <col min="31" max="31" width="14.5" bestFit="1" customWidth="1"/>
    <col min="32" max="32" width="23.1640625" bestFit="1" customWidth="1"/>
    <col min="33" max="33" width="22.33203125" bestFit="1" customWidth="1"/>
    <col min="34" max="34" width="10.83203125" style="27"/>
  </cols>
  <sheetData>
    <row r="1" spans="1:34" ht="19" x14ac:dyDescent="0.25">
      <c r="A1" s="33" t="s">
        <v>240</v>
      </c>
      <c r="B1" s="33"/>
      <c r="C1" s="33"/>
      <c r="D1" s="33"/>
      <c r="E1" s="33"/>
      <c r="F1" s="33"/>
      <c r="G1" s="33"/>
      <c r="H1" s="33"/>
      <c r="I1" s="36"/>
      <c r="J1" s="36"/>
      <c r="K1" s="36"/>
      <c r="L1" s="36"/>
      <c r="M1" s="36"/>
      <c r="N1" s="36"/>
      <c r="O1" s="36"/>
      <c r="P1" s="36"/>
      <c r="S1" s="33" t="s">
        <v>262</v>
      </c>
      <c r="T1" s="33"/>
      <c r="U1" s="33"/>
      <c r="V1" s="33"/>
      <c r="W1" s="33"/>
      <c r="X1" s="33"/>
      <c r="Y1" s="33"/>
      <c r="Z1" s="33"/>
      <c r="AA1" s="33"/>
      <c r="AD1" s="47" t="s">
        <v>463</v>
      </c>
      <c r="AE1" s="47"/>
      <c r="AF1" s="47"/>
      <c r="AG1" s="47"/>
      <c r="AH1" s="50"/>
    </row>
    <row r="3" spans="1:34" ht="19" x14ac:dyDescent="0.25">
      <c r="A3" s="5" t="s">
        <v>424</v>
      </c>
      <c r="B3" s="5" t="s">
        <v>425</v>
      </c>
      <c r="C3" s="5" t="s">
        <v>179</v>
      </c>
      <c r="D3" s="5" t="s">
        <v>199</v>
      </c>
      <c r="E3" s="5" t="s">
        <v>426</v>
      </c>
      <c r="F3" s="5" t="s">
        <v>427</v>
      </c>
      <c r="G3" s="5" t="s">
        <v>428</v>
      </c>
      <c r="H3" s="5" t="s">
        <v>429</v>
      </c>
      <c r="I3" s="5"/>
      <c r="J3" s="5"/>
      <c r="K3" s="5"/>
      <c r="L3" s="5"/>
      <c r="M3" s="5"/>
      <c r="N3" s="5"/>
      <c r="O3" s="5"/>
      <c r="P3" s="5"/>
      <c r="S3" s="5" t="s">
        <v>425</v>
      </c>
      <c r="T3" s="5" t="s">
        <v>179</v>
      </c>
      <c r="U3" s="5" t="s">
        <v>434</v>
      </c>
      <c r="V3" s="5" t="s">
        <v>435</v>
      </c>
      <c r="W3" s="5" t="s">
        <v>135</v>
      </c>
      <c r="X3" s="5" t="s">
        <v>433</v>
      </c>
      <c r="Y3" s="5" t="s">
        <v>432</v>
      </c>
      <c r="Z3" s="5" t="s">
        <v>430</v>
      </c>
      <c r="AA3" s="5" t="s">
        <v>431</v>
      </c>
      <c r="AD3" s="14" t="s">
        <v>99</v>
      </c>
      <c r="AE3" t="s">
        <v>464</v>
      </c>
      <c r="AF3" t="s">
        <v>465</v>
      </c>
      <c r="AG3" t="s">
        <v>466</v>
      </c>
    </row>
    <row r="4" spans="1:34" x14ac:dyDescent="0.2">
      <c r="A4" s="4">
        <v>1</v>
      </c>
      <c r="B4" s="4" t="s">
        <v>241</v>
      </c>
      <c r="C4" s="4">
        <v>152328</v>
      </c>
      <c r="D4" s="4">
        <v>55.89</v>
      </c>
      <c r="E4" s="4">
        <v>34.380000000000003</v>
      </c>
      <c r="F4" s="4">
        <v>36</v>
      </c>
      <c r="G4" s="4">
        <v>35</v>
      </c>
      <c r="H4" s="4" t="s">
        <v>242</v>
      </c>
      <c r="I4" s="4"/>
      <c r="J4" s="4"/>
      <c r="K4" s="4"/>
      <c r="L4" s="4"/>
      <c r="M4" s="4"/>
      <c r="N4" s="4"/>
      <c r="O4" s="4"/>
      <c r="P4" s="4"/>
      <c r="S4" s="4" t="s">
        <v>263</v>
      </c>
      <c r="T4" s="4">
        <v>536</v>
      </c>
      <c r="U4" s="4">
        <v>48.97</v>
      </c>
      <c r="V4" s="4">
        <v>48.78</v>
      </c>
      <c r="W4" s="4">
        <v>0.19</v>
      </c>
      <c r="X4" s="4">
        <v>1.63</v>
      </c>
      <c r="Y4" s="4">
        <v>-1.66</v>
      </c>
      <c r="Z4" s="4" t="s">
        <v>264</v>
      </c>
      <c r="AA4" s="4" t="s">
        <v>265</v>
      </c>
      <c r="AD4" s="13" t="s">
        <v>268</v>
      </c>
      <c r="AE4" s="15">
        <v>89</v>
      </c>
      <c r="AF4" s="46">
        <v>51.175168539325853</v>
      </c>
      <c r="AG4" s="46">
        <v>55.451797752808972</v>
      </c>
    </row>
    <row r="5" spans="1:34" x14ac:dyDescent="0.2">
      <c r="A5" s="4">
        <v>2</v>
      </c>
      <c r="B5" s="4" t="s">
        <v>243</v>
      </c>
      <c r="C5" s="4">
        <v>146846</v>
      </c>
      <c r="D5" s="4">
        <v>48.57</v>
      </c>
      <c r="E5" s="4">
        <v>32.11</v>
      </c>
      <c r="F5" s="4">
        <v>120</v>
      </c>
      <c r="G5" s="4">
        <v>118</v>
      </c>
      <c r="H5" s="4" t="s">
        <v>242</v>
      </c>
      <c r="I5" s="4"/>
      <c r="J5" s="4"/>
      <c r="K5" s="4"/>
      <c r="L5" s="4"/>
      <c r="M5" s="4"/>
      <c r="N5" s="4"/>
      <c r="O5" s="4"/>
      <c r="P5" s="4"/>
      <c r="S5" s="4" t="s">
        <v>22</v>
      </c>
      <c r="T5" s="4">
        <v>11655</v>
      </c>
      <c r="U5" s="4">
        <v>48.6</v>
      </c>
      <c r="V5" s="4">
        <v>49.71</v>
      </c>
      <c r="W5" s="4">
        <v>-1.1100000000000001</v>
      </c>
      <c r="X5" s="4">
        <v>1.26</v>
      </c>
      <c r="Y5" s="4">
        <v>-0.73</v>
      </c>
      <c r="Z5" s="4" t="s">
        <v>264</v>
      </c>
      <c r="AA5" s="4" t="s">
        <v>265</v>
      </c>
      <c r="AD5" s="13" t="s">
        <v>264</v>
      </c>
      <c r="AE5" s="15">
        <v>5</v>
      </c>
      <c r="AF5" s="46">
        <v>48.231999999999992</v>
      </c>
      <c r="AG5" s="46">
        <v>48.522000000000006</v>
      </c>
    </row>
    <row r="6" spans="1:34" x14ac:dyDescent="0.2">
      <c r="A6" s="4">
        <v>3</v>
      </c>
      <c r="B6" s="4" t="s">
        <v>244</v>
      </c>
      <c r="C6" s="4">
        <v>101907</v>
      </c>
      <c r="D6" s="4">
        <v>48</v>
      </c>
      <c r="E6" s="4">
        <v>31.08</v>
      </c>
      <c r="F6" s="4">
        <v>123</v>
      </c>
      <c r="G6" s="4">
        <v>120</v>
      </c>
      <c r="H6" s="4" t="s">
        <v>242</v>
      </c>
      <c r="I6" s="4"/>
      <c r="J6" s="4"/>
      <c r="K6" s="4"/>
      <c r="L6" s="4"/>
      <c r="M6" s="4"/>
      <c r="N6" s="4"/>
      <c r="O6" s="4"/>
      <c r="P6" s="4"/>
      <c r="S6" s="4" t="s">
        <v>17</v>
      </c>
      <c r="T6" s="4">
        <v>28308</v>
      </c>
      <c r="U6" s="4">
        <v>48.48</v>
      </c>
      <c r="V6" s="4">
        <v>47.05</v>
      </c>
      <c r="W6" s="4">
        <v>1.43</v>
      </c>
      <c r="X6" s="4">
        <v>1.1399999999999999</v>
      </c>
      <c r="Y6" s="4">
        <v>-3.39</v>
      </c>
      <c r="Z6" s="4" t="s">
        <v>264</v>
      </c>
      <c r="AA6" s="4" t="s">
        <v>265</v>
      </c>
      <c r="AD6" s="13" t="s">
        <v>353</v>
      </c>
      <c r="AE6" s="15">
        <v>53</v>
      </c>
      <c r="AF6" s="46">
        <v>44.517924528301883</v>
      </c>
      <c r="AG6" s="46">
        <v>46.31075471698113</v>
      </c>
    </row>
    <row r="7" spans="1:34" x14ac:dyDescent="0.2">
      <c r="A7" s="4">
        <v>4</v>
      </c>
      <c r="B7" s="4" t="s">
        <v>245</v>
      </c>
      <c r="C7" s="4">
        <v>80328</v>
      </c>
      <c r="D7" s="4">
        <v>47.73</v>
      </c>
      <c r="E7" s="4">
        <v>31.06</v>
      </c>
      <c r="F7" s="4">
        <v>125</v>
      </c>
      <c r="G7" s="4">
        <v>121</v>
      </c>
      <c r="H7" s="4" t="s">
        <v>242</v>
      </c>
      <c r="I7" s="4"/>
      <c r="J7" s="4"/>
      <c r="K7" s="4"/>
      <c r="L7" s="4"/>
      <c r="M7" s="4"/>
      <c r="N7" s="4"/>
      <c r="O7" s="4"/>
      <c r="P7" s="4"/>
      <c r="S7" s="4" t="s">
        <v>266</v>
      </c>
      <c r="T7" s="4">
        <v>2600</v>
      </c>
      <c r="U7" s="4">
        <v>47.73</v>
      </c>
      <c r="V7" s="4">
        <v>50.16</v>
      </c>
      <c r="W7" s="4">
        <v>-2.4300000000000002</v>
      </c>
      <c r="X7" s="4">
        <v>0.39</v>
      </c>
      <c r="Y7" s="4">
        <v>-0.28000000000000003</v>
      </c>
      <c r="Z7" s="4" t="s">
        <v>264</v>
      </c>
      <c r="AA7" s="4" t="s">
        <v>265</v>
      </c>
      <c r="AD7" s="13" t="s">
        <v>339</v>
      </c>
      <c r="AE7" s="15">
        <v>16</v>
      </c>
      <c r="AF7" s="46">
        <v>45.943749999999994</v>
      </c>
      <c r="AG7" s="46">
        <v>52.056250000000013</v>
      </c>
    </row>
    <row r="8" spans="1:34" x14ac:dyDescent="0.2">
      <c r="A8" s="4">
        <v>5</v>
      </c>
      <c r="B8" s="4" t="s">
        <v>13</v>
      </c>
      <c r="C8" s="4">
        <v>67616</v>
      </c>
      <c r="D8" s="4">
        <v>55.71</v>
      </c>
      <c r="E8" s="4">
        <v>33.770000000000003</v>
      </c>
      <c r="F8" s="4">
        <v>41</v>
      </c>
      <c r="G8" s="4">
        <v>36</v>
      </c>
      <c r="H8" s="4" t="s">
        <v>242</v>
      </c>
      <c r="I8" s="4"/>
      <c r="J8" s="4"/>
      <c r="K8" s="4"/>
      <c r="L8" s="4"/>
      <c r="M8" s="4"/>
      <c r="N8" s="4"/>
      <c r="O8" s="4"/>
      <c r="P8" s="4"/>
      <c r="S8" s="4" t="s">
        <v>267</v>
      </c>
      <c r="T8" s="4">
        <v>4032</v>
      </c>
      <c r="U8" s="4">
        <v>47.38</v>
      </c>
      <c r="V8" s="4">
        <v>46.91</v>
      </c>
      <c r="W8" s="4">
        <v>0.47</v>
      </c>
      <c r="X8" s="4">
        <v>0.04</v>
      </c>
      <c r="Y8" s="4">
        <v>-3.53</v>
      </c>
      <c r="Z8" s="4" t="s">
        <v>264</v>
      </c>
      <c r="AA8" s="4" t="s">
        <v>265</v>
      </c>
      <c r="AD8" s="13" t="s">
        <v>100</v>
      </c>
      <c r="AE8" s="15">
        <v>163</v>
      </c>
      <c r="AF8" s="46">
        <v>48.406748466257689</v>
      </c>
      <c r="AG8" s="46">
        <v>51.933680981595053</v>
      </c>
    </row>
    <row r="9" spans="1:34" x14ac:dyDescent="0.2">
      <c r="A9" s="4">
        <v>6</v>
      </c>
      <c r="B9" s="4" t="s">
        <v>19</v>
      </c>
      <c r="C9" s="4">
        <v>65863</v>
      </c>
      <c r="D9" s="4">
        <v>46.78</v>
      </c>
      <c r="E9" s="4">
        <v>30.83</v>
      </c>
      <c r="F9" s="4">
        <v>136</v>
      </c>
      <c r="G9" s="4">
        <v>130</v>
      </c>
      <c r="H9" s="4" t="s">
        <v>242</v>
      </c>
      <c r="I9" s="4"/>
      <c r="J9" s="4"/>
      <c r="K9" s="4"/>
      <c r="L9" s="4"/>
      <c r="M9" s="4"/>
      <c r="N9" s="4"/>
      <c r="O9" s="4"/>
      <c r="P9" s="4"/>
      <c r="S9" s="4" t="s">
        <v>7</v>
      </c>
      <c r="T9" s="4">
        <v>531</v>
      </c>
      <c r="U9" s="4">
        <v>50.27</v>
      </c>
      <c r="V9" s="4">
        <v>56.6</v>
      </c>
      <c r="W9" s="4">
        <v>-6.33</v>
      </c>
      <c r="X9" s="4">
        <v>2.93</v>
      </c>
      <c r="Y9" s="4">
        <v>6.16</v>
      </c>
      <c r="Z9" s="4" t="s">
        <v>268</v>
      </c>
      <c r="AA9" s="4" t="s">
        <v>265</v>
      </c>
    </row>
    <row r="10" spans="1:34" x14ac:dyDescent="0.2">
      <c r="A10" s="4">
        <v>7</v>
      </c>
      <c r="B10" s="4" t="s">
        <v>246</v>
      </c>
      <c r="C10" s="4">
        <v>58532</v>
      </c>
      <c r="D10" s="4">
        <v>54.04</v>
      </c>
      <c r="E10" s="4">
        <v>33.479999999999997</v>
      </c>
      <c r="F10" s="4">
        <v>61</v>
      </c>
      <c r="G10" s="4">
        <v>54</v>
      </c>
      <c r="H10" s="4" t="s">
        <v>242</v>
      </c>
      <c r="I10" s="4"/>
      <c r="J10" s="4"/>
      <c r="K10" s="4"/>
      <c r="L10" s="4"/>
      <c r="M10" s="4"/>
      <c r="N10" s="4"/>
      <c r="O10" s="4"/>
      <c r="P10" s="4"/>
      <c r="S10" s="4" t="s">
        <v>269</v>
      </c>
      <c r="T10" s="4">
        <v>1976</v>
      </c>
      <c r="U10" s="4">
        <v>48.29</v>
      </c>
      <c r="V10" s="4">
        <v>53.7</v>
      </c>
      <c r="W10" s="4">
        <v>-5.41</v>
      </c>
      <c r="X10" s="4">
        <v>0.95</v>
      </c>
      <c r="Y10" s="4">
        <v>3.26</v>
      </c>
      <c r="Z10" s="4" t="s">
        <v>268</v>
      </c>
      <c r="AA10" s="4" t="s">
        <v>265</v>
      </c>
    </row>
    <row r="11" spans="1:34" x14ac:dyDescent="0.2">
      <c r="A11" s="4">
        <v>8</v>
      </c>
      <c r="B11" s="4" t="s">
        <v>17</v>
      </c>
      <c r="C11" s="4">
        <v>56300</v>
      </c>
      <c r="D11" s="4">
        <v>47.05</v>
      </c>
      <c r="E11" s="4">
        <v>30.84</v>
      </c>
      <c r="F11" s="4">
        <v>133</v>
      </c>
      <c r="G11" s="4">
        <v>125</v>
      </c>
      <c r="H11" s="4" t="s">
        <v>242</v>
      </c>
      <c r="I11" s="4"/>
      <c r="J11" s="4"/>
      <c r="K11" s="4"/>
      <c r="L11" s="4"/>
      <c r="M11" s="4"/>
      <c r="N11" s="4"/>
      <c r="O11" s="4"/>
      <c r="P11" s="4"/>
      <c r="S11" s="4" t="s">
        <v>35</v>
      </c>
      <c r="T11" s="4">
        <v>2556</v>
      </c>
      <c r="U11" s="4">
        <v>50.18</v>
      </c>
      <c r="V11" s="4">
        <v>55.35</v>
      </c>
      <c r="W11" s="4">
        <v>-5.17</v>
      </c>
      <c r="X11" s="4">
        <v>2.84</v>
      </c>
      <c r="Y11" s="4">
        <v>4.91</v>
      </c>
      <c r="Z11" s="4" t="s">
        <v>268</v>
      </c>
      <c r="AA11" s="4" t="s">
        <v>265</v>
      </c>
    </row>
    <row r="12" spans="1:34" x14ac:dyDescent="0.2">
      <c r="A12" s="4">
        <v>9</v>
      </c>
      <c r="B12" s="4" t="s">
        <v>247</v>
      </c>
      <c r="C12" s="4">
        <v>55343</v>
      </c>
      <c r="D12" s="4">
        <v>44.8</v>
      </c>
      <c r="E12" s="4">
        <v>29.3</v>
      </c>
      <c r="F12" s="4">
        <v>152</v>
      </c>
      <c r="G12" s="4">
        <v>143</v>
      </c>
      <c r="H12" s="4" t="s">
        <v>242</v>
      </c>
      <c r="I12" s="4"/>
      <c r="J12" s="4"/>
      <c r="K12" s="4"/>
      <c r="L12" s="4"/>
      <c r="M12" s="4"/>
      <c r="N12" s="4"/>
      <c r="O12" s="4"/>
      <c r="P12" s="4"/>
      <c r="S12" s="4" t="s">
        <v>20</v>
      </c>
      <c r="T12" s="4">
        <v>526</v>
      </c>
      <c r="U12" s="4">
        <v>52.97</v>
      </c>
      <c r="V12" s="4">
        <v>60.12</v>
      </c>
      <c r="W12" s="4">
        <v>-7.15</v>
      </c>
      <c r="X12" s="4">
        <v>5.63</v>
      </c>
      <c r="Y12" s="4">
        <v>9.68</v>
      </c>
      <c r="Z12" s="4" t="s">
        <v>268</v>
      </c>
      <c r="AA12" s="4" t="s">
        <v>265</v>
      </c>
    </row>
    <row r="13" spans="1:34" ht="19" x14ac:dyDescent="0.25">
      <c r="A13" s="4">
        <v>10</v>
      </c>
      <c r="B13" s="4" t="s">
        <v>248</v>
      </c>
      <c r="C13" s="4">
        <v>55037</v>
      </c>
      <c r="D13" s="4">
        <v>48.61</v>
      </c>
      <c r="E13" s="4">
        <v>32.21</v>
      </c>
      <c r="F13" s="4">
        <v>119</v>
      </c>
      <c r="G13" s="4">
        <v>109</v>
      </c>
      <c r="H13" s="4" t="s">
        <v>242</v>
      </c>
      <c r="I13" s="4"/>
      <c r="J13" s="4"/>
      <c r="K13" s="4"/>
      <c r="L13" s="4"/>
      <c r="M13" s="4"/>
      <c r="N13" s="4"/>
      <c r="O13" s="4"/>
      <c r="P13" s="4"/>
      <c r="S13" s="4" t="s">
        <v>270</v>
      </c>
      <c r="T13" s="4">
        <v>635</v>
      </c>
      <c r="U13" s="4">
        <v>56.84</v>
      </c>
      <c r="V13" s="4">
        <v>60.55</v>
      </c>
      <c r="W13" s="4">
        <v>-3.71</v>
      </c>
      <c r="X13" s="4">
        <v>9.5</v>
      </c>
      <c r="Y13" s="4">
        <v>10.11</v>
      </c>
      <c r="Z13" s="4" t="s">
        <v>268</v>
      </c>
      <c r="AA13" s="4" t="s">
        <v>265</v>
      </c>
      <c r="AD13" s="47" t="s">
        <v>467</v>
      </c>
      <c r="AE13" s="47"/>
      <c r="AF13" s="47"/>
      <c r="AG13" s="47"/>
    </row>
    <row r="14" spans="1:34" x14ac:dyDescent="0.2">
      <c r="A14" s="4">
        <v>11</v>
      </c>
      <c r="B14" s="4" t="s">
        <v>249</v>
      </c>
      <c r="C14" s="4">
        <v>50142</v>
      </c>
      <c r="D14" s="4">
        <v>50.62</v>
      </c>
      <c r="E14" s="4">
        <v>31.94</v>
      </c>
      <c r="F14" s="4">
        <v>101</v>
      </c>
      <c r="G14" s="4">
        <v>90</v>
      </c>
      <c r="H14" s="4" t="s">
        <v>242</v>
      </c>
      <c r="I14" s="4"/>
      <c r="J14" s="4"/>
      <c r="K14" s="4"/>
      <c r="L14" s="4"/>
      <c r="M14" s="4"/>
      <c r="N14" s="4"/>
      <c r="O14" s="4"/>
      <c r="P14" s="4"/>
      <c r="S14" s="4" t="s">
        <v>271</v>
      </c>
      <c r="T14" s="4">
        <v>765</v>
      </c>
      <c r="U14" s="4">
        <v>50.24</v>
      </c>
      <c r="V14" s="4">
        <v>56.44</v>
      </c>
      <c r="W14" s="4">
        <v>-6.2</v>
      </c>
      <c r="X14" s="4">
        <v>2.9</v>
      </c>
      <c r="Y14" s="4">
        <v>6</v>
      </c>
      <c r="Z14" s="4" t="s">
        <v>268</v>
      </c>
      <c r="AA14" s="4" t="s">
        <v>265</v>
      </c>
    </row>
    <row r="15" spans="1:34" x14ac:dyDescent="0.2">
      <c r="A15" s="4">
        <v>12</v>
      </c>
      <c r="B15" s="4" t="s">
        <v>250</v>
      </c>
      <c r="C15" s="4">
        <v>46696</v>
      </c>
      <c r="D15" s="4">
        <v>55.07</v>
      </c>
      <c r="E15" s="4">
        <v>33.159999999999997</v>
      </c>
      <c r="F15" s="4">
        <v>50</v>
      </c>
      <c r="G15" s="4">
        <v>38</v>
      </c>
      <c r="H15" s="4" t="s">
        <v>242</v>
      </c>
      <c r="I15" s="4"/>
      <c r="J15" s="4"/>
      <c r="K15" s="4"/>
      <c r="L15" s="4"/>
      <c r="M15" s="4"/>
      <c r="N15" s="4"/>
      <c r="O15" s="4"/>
      <c r="P15" s="4"/>
      <c r="S15" s="4" t="s">
        <v>13</v>
      </c>
      <c r="T15" s="4">
        <v>32288</v>
      </c>
      <c r="U15" s="4">
        <v>51.13</v>
      </c>
      <c r="V15" s="4">
        <v>55.71</v>
      </c>
      <c r="W15" s="4">
        <v>-4.58</v>
      </c>
      <c r="X15" s="4">
        <v>3.79</v>
      </c>
      <c r="Y15" s="4">
        <v>5.27</v>
      </c>
      <c r="Z15" s="4" t="s">
        <v>268</v>
      </c>
      <c r="AA15" s="4" t="s">
        <v>265</v>
      </c>
      <c r="AD15" s="7" t="s">
        <v>468</v>
      </c>
      <c r="AE15" s="48">
        <f>COUNTIFS($Z$4:$Z$166,"High Dep / Normal Arr : Ground Ops Problem")</f>
        <v>5</v>
      </c>
    </row>
    <row r="16" spans="1:34" x14ac:dyDescent="0.2">
      <c r="A16" s="4">
        <v>13</v>
      </c>
      <c r="B16" s="4" t="s">
        <v>21</v>
      </c>
      <c r="C16" s="4">
        <v>43069</v>
      </c>
      <c r="D16" s="4">
        <v>57.23</v>
      </c>
      <c r="E16" s="4">
        <v>34.36</v>
      </c>
      <c r="F16" s="4">
        <v>19</v>
      </c>
      <c r="G16" s="4">
        <v>6</v>
      </c>
      <c r="H16" s="4" t="s">
        <v>251</v>
      </c>
      <c r="I16" s="4"/>
      <c r="J16" s="4"/>
      <c r="K16" s="4"/>
      <c r="L16" s="4"/>
      <c r="M16" s="4"/>
      <c r="N16" s="4"/>
      <c r="O16" s="4"/>
      <c r="P16" s="4"/>
      <c r="S16" s="4" t="s">
        <v>272</v>
      </c>
      <c r="T16" s="4">
        <v>628</v>
      </c>
      <c r="U16" s="4">
        <v>53.31</v>
      </c>
      <c r="V16" s="4">
        <v>59.21</v>
      </c>
      <c r="W16" s="4">
        <v>-5.9</v>
      </c>
      <c r="X16" s="4">
        <v>5.97</v>
      </c>
      <c r="Y16" s="4">
        <v>8.77</v>
      </c>
      <c r="Z16" s="4" t="s">
        <v>268</v>
      </c>
      <c r="AA16" s="4" t="s">
        <v>265</v>
      </c>
      <c r="AD16" s="7" t="s">
        <v>469</v>
      </c>
      <c r="AE16" s="48">
        <f>COUNTIFS($Z$4:$Z$166,"Normal Both : Well Performing")</f>
        <v>53</v>
      </c>
    </row>
    <row r="17" spans="1:31" x14ac:dyDescent="0.2">
      <c r="A17" s="4">
        <v>14</v>
      </c>
      <c r="B17" s="4" t="s">
        <v>40</v>
      </c>
      <c r="C17" s="4">
        <v>41162</v>
      </c>
      <c r="D17" s="4">
        <v>50.52</v>
      </c>
      <c r="E17" s="4">
        <v>32.74</v>
      </c>
      <c r="F17" s="4">
        <v>104</v>
      </c>
      <c r="G17" s="4">
        <v>90</v>
      </c>
      <c r="H17" s="4" t="s">
        <v>242</v>
      </c>
      <c r="I17" s="4"/>
      <c r="J17" s="4"/>
      <c r="K17" s="4"/>
      <c r="L17" s="4"/>
      <c r="M17" s="4"/>
      <c r="N17" s="4"/>
      <c r="O17" s="4"/>
      <c r="P17" s="4"/>
      <c r="S17" s="4" t="s">
        <v>273</v>
      </c>
      <c r="T17" s="4">
        <v>1765</v>
      </c>
      <c r="U17" s="4">
        <v>50.85</v>
      </c>
      <c r="V17" s="4">
        <v>51.98</v>
      </c>
      <c r="W17" s="4">
        <v>-1.1299999999999999</v>
      </c>
      <c r="X17" s="4">
        <v>3.51</v>
      </c>
      <c r="Y17" s="4">
        <v>1.54</v>
      </c>
      <c r="Z17" s="4" t="s">
        <v>268</v>
      </c>
      <c r="AA17" s="4" t="s">
        <v>265</v>
      </c>
      <c r="AD17" s="7" t="s">
        <v>470</v>
      </c>
      <c r="AE17" s="48">
        <f>COUNTIFS($H$4:$H$33,"Busy but Punctual")</f>
        <v>19</v>
      </c>
    </row>
    <row r="18" spans="1:31" x14ac:dyDescent="0.2">
      <c r="A18" s="4">
        <v>15</v>
      </c>
      <c r="B18" s="4" t="s">
        <v>34</v>
      </c>
      <c r="C18" s="4">
        <v>38276</v>
      </c>
      <c r="D18" s="4">
        <v>49.24</v>
      </c>
      <c r="E18" s="4">
        <v>31.79</v>
      </c>
      <c r="F18" s="4">
        <v>111</v>
      </c>
      <c r="G18" s="4">
        <v>96</v>
      </c>
      <c r="H18" s="4" t="s">
        <v>242</v>
      </c>
      <c r="I18" s="4"/>
      <c r="J18" s="4"/>
      <c r="K18" s="4"/>
      <c r="L18" s="4"/>
      <c r="M18" s="4"/>
      <c r="N18" s="4"/>
      <c r="O18" s="4"/>
      <c r="P18" s="4"/>
      <c r="S18" s="4" t="s">
        <v>259</v>
      </c>
      <c r="T18" s="4">
        <v>11496</v>
      </c>
      <c r="U18" s="4">
        <v>47.37</v>
      </c>
      <c r="V18" s="4">
        <v>51.51</v>
      </c>
      <c r="W18" s="4">
        <v>-4.1399999999999997</v>
      </c>
      <c r="X18" s="4">
        <v>0.03</v>
      </c>
      <c r="Y18" s="4">
        <v>1.07</v>
      </c>
      <c r="Z18" s="4" t="s">
        <v>268</v>
      </c>
      <c r="AA18" s="4" t="s">
        <v>265</v>
      </c>
      <c r="AD18" s="7" t="s">
        <v>471</v>
      </c>
      <c r="AE18" s="48">
        <f>COUNTIFS($H$4:$H$33,"Busy &amp; Delayed")</f>
        <v>1</v>
      </c>
    </row>
    <row r="19" spans="1:31" x14ac:dyDescent="0.2">
      <c r="A19" s="4">
        <v>16</v>
      </c>
      <c r="B19" s="4" t="s">
        <v>24</v>
      </c>
      <c r="C19" s="4">
        <v>37911</v>
      </c>
      <c r="D19" s="4">
        <v>48.75</v>
      </c>
      <c r="E19" s="4">
        <v>31.07</v>
      </c>
      <c r="F19" s="4">
        <v>116</v>
      </c>
      <c r="G19" s="4">
        <v>100</v>
      </c>
      <c r="H19" s="4" t="s">
        <v>242</v>
      </c>
      <c r="I19" s="4"/>
      <c r="J19" s="4"/>
      <c r="K19" s="4"/>
      <c r="L19" s="4"/>
      <c r="M19" s="4"/>
      <c r="N19" s="4"/>
      <c r="O19" s="4"/>
      <c r="P19" s="4"/>
      <c r="S19" s="4" t="s">
        <v>274</v>
      </c>
      <c r="T19" s="4">
        <v>856</v>
      </c>
      <c r="U19" s="4">
        <v>55.7</v>
      </c>
      <c r="V19" s="4">
        <v>60.51</v>
      </c>
      <c r="W19" s="4">
        <v>-4.8099999999999996</v>
      </c>
      <c r="X19" s="4">
        <v>8.36</v>
      </c>
      <c r="Y19" s="4">
        <v>10.07</v>
      </c>
      <c r="Z19" s="4" t="s">
        <v>268</v>
      </c>
      <c r="AA19" s="4" t="s">
        <v>265</v>
      </c>
    </row>
    <row r="20" spans="1:31" x14ac:dyDescent="0.2">
      <c r="A20" s="4">
        <v>17</v>
      </c>
      <c r="B20" s="4" t="s">
        <v>252</v>
      </c>
      <c r="C20" s="4">
        <v>37879</v>
      </c>
      <c r="D20" s="4">
        <v>55.79</v>
      </c>
      <c r="E20" s="4">
        <v>34.61</v>
      </c>
      <c r="F20" s="4">
        <v>39</v>
      </c>
      <c r="G20" s="4">
        <v>22</v>
      </c>
      <c r="H20" s="4" t="s">
        <v>242</v>
      </c>
      <c r="I20" s="4"/>
      <c r="J20" s="4"/>
      <c r="K20" s="4"/>
      <c r="L20" s="4"/>
      <c r="M20" s="4"/>
      <c r="N20" s="4"/>
      <c r="O20" s="4"/>
      <c r="P20" s="4"/>
      <c r="S20" s="4" t="s">
        <v>275</v>
      </c>
      <c r="T20" s="4">
        <v>979</v>
      </c>
      <c r="U20" s="4">
        <v>52.81</v>
      </c>
      <c r="V20" s="4">
        <v>58.92</v>
      </c>
      <c r="W20" s="4">
        <v>-6.11</v>
      </c>
      <c r="X20" s="4">
        <v>5.47</v>
      </c>
      <c r="Y20" s="4">
        <v>8.48</v>
      </c>
      <c r="Z20" s="4" t="s">
        <v>268</v>
      </c>
      <c r="AA20" s="4" t="s">
        <v>265</v>
      </c>
    </row>
    <row r="21" spans="1:31" x14ac:dyDescent="0.2">
      <c r="A21" s="4">
        <v>18</v>
      </c>
      <c r="B21" s="4" t="s">
        <v>144</v>
      </c>
      <c r="C21" s="4">
        <v>34825</v>
      </c>
      <c r="D21" s="4">
        <v>54.76</v>
      </c>
      <c r="E21" s="4">
        <v>34.04</v>
      </c>
      <c r="F21" s="4">
        <v>55</v>
      </c>
      <c r="G21" s="4">
        <v>37</v>
      </c>
      <c r="H21" s="4" t="s">
        <v>242</v>
      </c>
      <c r="I21" s="4"/>
      <c r="J21" s="4"/>
      <c r="K21" s="4"/>
      <c r="L21" s="4"/>
      <c r="M21" s="4"/>
      <c r="N21" s="4"/>
      <c r="O21" s="4"/>
      <c r="P21" s="4"/>
      <c r="S21" s="4" t="s">
        <v>276</v>
      </c>
      <c r="T21" s="4">
        <v>1144</v>
      </c>
      <c r="U21" s="4">
        <v>49.62</v>
      </c>
      <c r="V21" s="4">
        <v>53.94</v>
      </c>
      <c r="W21" s="4">
        <v>-4.32</v>
      </c>
      <c r="X21" s="4">
        <v>2.2799999999999998</v>
      </c>
      <c r="Y21" s="4">
        <v>3.5</v>
      </c>
      <c r="Z21" s="4" t="s">
        <v>268</v>
      </c>
      <c r="AA21" s="4" t="s">
        <v>265</v>
      </c>
    </row>
    <row r="22" spans="1:31" x14ac:dyDescent="0.2">
      <c r="A22" s="4">
        <v>19</v>
      </c>
      <c r="B22" s="4" t="s">
        <v>253</v>
      </c>
      <c r="C22" s="4">
        <v>34624</v>
      </c>
      <c r="D22" s="4">
        <v>45.65</v>
      </c>
      <c r="E22" s="4">
        <v>29.93</v>
      </c>
      <c r="F22" s="4">
        <v>147</v>
      </c>
      <c r="G22" s="4">
        <v>128</v>
      </c>
      <c r="H22" s="4" t="s">
        <v>242</v>
      </c>
      <c r="I22" s="4"/>
      <c r="J22" s="4"/>
      <c r="K22" s="4"/>
      <c r="L22" s="4"/>
      <c r="M22" s="4"/>
      <c r="N22" s="4"/>
      <c r="O22" s="4"/>
      <c r="P22" s="4"/>
      <c r="S22" s="4" t="s">
        <v>277</v>
      </c>
      <c r="T22" s="4">
        <v>1235</v>
      </c>
      <c r="U22" s="4">
        <v>51.57</v>
      </c>
      <c r="V22" s="4">
        <v>59.08</v>
      </c>
      <c r="W22" s="4">
        <v>-7.51</v>
      </c>
      <c r="X22" s="4">
        <v>4.2300000000000004</v>
      </c>
      <c r="Y22" s="4">
        <v>8.64</v>
      </c>
      <c r="Z22" s="4" t="s">
        <v>268</v>
      </c>
      <c r="AA22" s="4" t="s">
        <v>265</v>
      </c>
    </row>
    <row r="23" spans="1:31" x14ac:dyDescent="0.2">
      <c r="A23" s="4">
        <v>20</v>
      </c>
      <c r="B23" s="4" t="s">
        <v>254</v>
      </c>
      <c r="C23" s="4">
        <v>32318</v>
      </c>
      <c r="D23" s="4">
        <v>47.45</v>
      </c>
      <c r="E23" s="4">
        <v>31.29</v>
      </c>
      <c r="F23" s="4">
        <v>129</v>
      </c>
      <c r="G23" s="4">
        <v>109</v>
      </c>
      <c r="H23" s="4" t="s">
        <v>242</v>
      </c>
      <c r="I23" s="4"/>
      <c r="J23" s="4"/>
      <c r="K23" s="4"/>
      <c r="L23" s="4"/>
      <c r="M23" s="4"/>
      <c r="N23" s="4"/>
      <c r="O23" s="4"/>
      <c r="P23" s="4"/>
      <c r="S23" s="4" t="s">
        <v>278</v>
      </c>
      <c r="T23" s="4">
        <v>2308</v>
      </c>
      <c r="U23" s="4">
        <v>48.66</v>
      </c>
      <c r="V23" s="4">
        <v>54.52</v>
      </c>
      <c r="W23" s="4">
        <v>-5.86</v>
      </c>
      <c r="X23" s="4">
        <v>1.32</v>
      </c>
      <c r="Y23" s="4">
        <v>4.08</v>
      </c>
      <c r="Z23" s="4" t="s">
        <v>268</v>
      </c>
      <c r="AA23" s="4" t="s">
        <v>265</v>
      </c>
    </row>
    <row r="24" spans="1:31" x14ac:dyDescent="0.2">
      <c r="A24" s="4">
        <v>21</v>
      </c>
      <c r="B24" s="4" t="s">
        <v>10</v>
      </c>
      <c r="C24" s="4">
        <v>31962</v>
      </c>
      <c r="D24" s="4">
        <v>46.75</v>
      </c>
      <c r="E24" s="4">
        <v>31.35</v>
      </c>
      <c r="F24" s="4">
        <v>137</v>
      </c>
      <c r="G24" s="4">
        <v>116</v>
      </c>
      <c r="H24" s="4" t="s">
        <v>153</v>
      </c>
      <c r="I24" s="4"/>
      <c r="J24" s="4"/>
      <c r="K24" s="4"/>
      <c r="L24" s="4"/>
      <c r="M24" s="4"/>
      <c r="N24" s="4"/>
      <c r="O24" s="4"/>
      <c r="P24" s="4"/>
      <c r="S24" s="4" t="s">
        <v>279</v>
      </c>
      <c r="T24" s="4">
        <v>2012</v>
      </c>
      <c r="U24" s="4">
        <v>52.21</v>
      </c>
      <c r="V24" s="4">
        <v>55.62</v>
      </c>
      <c r="W24" s="4">
        <v>-3.41</v>
      </c>
      <c r="X24" s="4">
        <v>4.87</v>
      </c>
      <c r="Y24" s="4">
        <v>5.18</v>
      </c>
      <c r="Z24" s="4" t="s">
        <v>268</v>
      </c>
      <c r="AA24" s="4" t="s">
        <v>265</v>
      </c>
    </row>
    <row r="25" spans="1:31" x14ac:dyDescent="0.2">
      <c r="A25" s="4">
        <v>22</v>
      </c>
      <c r="B25" s="4" t="s">
        <v>255</v>
      </c>
      <c r="C25" s="4">
        <v>28423</v>
      </c>
      <c r="D25" s="4">
        <v>45.87</v>
      </c>
      <c r="E25" s="4">
        <v>30.28</v>
      </c>
      <c r="F25" s="4">
        <v>145</v>
      </c>
      <c r="G25" s="4">
        <v>123</v>
      </c>
      <c r="H25" s="4" t="s">
        <v>153</v>
      </c>
      <c r="I25" s="4"/>
      <c r="J25" s="4"/>
      <c r="K25" s="4"/>
      <c r="L25" s="4"/>
      <c r="M25" s="4"/>
      <c r="N25" s="4"/>
      <c r="O25" s="4"/>
      <c r="P25" s="4"/>
      <c r="S25" s="4" t="s">
        <v>280</v>
      </c>
      <c r="T25" s="4">
        <v>1635</v>
      </c>
      <c r="U25" s="4">
        <v>52.85</v>
      </c>
      <c r="V25" s="4">
        <v>56.08</v>
      </c>
      <c r="W25" s="4">
        <v>-3.23</v>
      </c>
      <c r="X25" s="4">
        <v>5.51</v>
      </c>
      <c r="Y25" s="4">
        <v>5.64</v>
      </c>
      <c r="Z25" s="4" t="s">
        <v>268</v>
      </c>
      <c r="AA25" s="4" t="s">
        <v>265</v>
      </c>
    </row>
    <row r="26" spans="1:31" x14ac:dyDescent="0.2">
      <c r="A26" s="4">
        <v>23</v>
      </c>
      <c r="B26" s="4" t="s">
        <v>256</v>
      </c>
      <c r="C26" s="4">
        <v>27922</v>
      </c>
      <c r="D26" s="4">
        <v>47.65</v>
      </c>
      <c r="E26" s="4">
        <v>31.21</v>
      </c>
      <c r="F26" s="4">
        <v>127</v>
      </c>
      <c r="G26" s="4">
        <v>104</v>
      </c>
      <c r="H26" s="4" t="s">
        <v>153</v>
      </c>
      <c r="I26" s="4"/>
      <c r="J26" s="4"/>
      <c r="K26" s="4"/>
      <c r="L26" s="4"/>
      <c r="M26" s="4"/>
      <c r="N26" s="4"/>
      <c r="O26" s="4"/>
      <c r="P26" s="4"/>
      <c r="S26" s="4" t="s">
        <v>257</v>
      </c>
      <c r="T26" s="4">
        <v>13659</v>
      </c>
      <c r="U26" s="4">
        <v>50.93</v>
      </c>
      <c r="V26" s="4">
        <v>55.19</v>
      </c>
      <c r="W26" s="4">
        <v>-4.26</v>
      </c>
      <c r="X26" s="4">
        <v>3.59</v>
      </c>
      <c r="Y26" s="4">
        <v>4.75</v>
      </c>
      <c r="Z26" s="4" t="s">
        <v>268</v>
      </c>
      <c r="AA26" s="4" t="s">
        <v>265</v>
      </c>
    </row>
    <row r="27" spans="1:31" x14ac:dyDescent="0.2">
      <c r="A27" s="4">
        <v>24</v>
      </c>
      <c r="B27" s="4" t="s">
        <v>37</v>
      </c>
      <c r="C27" s="4">
        <v>27438</v>
      </c>
      <c r="D27" s="4">
        <v>48.52</v>
      </c>
      <c r="E27" s="4">
        <v>31.64</v>
      </c>
      <c r="F27" s="4">
        <v>121</v>
      </c>
      <c r="G27" s="4">
        <v>97</v>
      </c>
      <c r="H27" s="4" t="s">
        <v>153</v>
      </c>
      <c r="I27" s="4"/>
      <c r="J27" s="4"/>
      <c r="K27" s="4"/>
      <c r="L27" s="4"/>
      <c r="M27" s="4"/>
      <c r="N27" s="4"/>
      <c r="O27" s="4"/>
      <c r="P27" s="4"/>
      <c r="S27" s="4" t="s">
        <v>281</v>
      </c>
      <c r="T27" s="4">
        <v>2010</v>
      </c>
      <c r="U27" s="4">
        <v>50.06</v>
      </c>
      <c r="V27" s="4">
        <v>54.86</v>
      </c>
      <c r="W27" s="4">
        <v>-4.8</v>
      </c>
      <c r="X27" s="4">
        <v>2.72</v>
      </c>
      <c r="Y27" s="4">
        <v>4.42</v>
      </c>
      <c r="Z27" s="4" t="s">
        <v>268</v>
      </c>
      <c r="AA27" s="4" t="s">
        <v>265</v>
      </c>
    </row>
    <row r="28" spans="1:31" x14ac:dyDescent="0.2">
      <c r="A28" s="4">
        <v>25</v>
      </c>
      <c r="B28" s="4" t="s">
        <v>257</v>
      </c>
      <c r="C28" s="4">
        <v>26838</v>
      </c>
      <c r="D28" s="4">
        <v>55.19</v>
      </c>
      <c r="E28" s="4">
        <v>34.520000000000003</v>
      </c>
      <c r="F28" s="4">
        <v>48</v>
      </c>
      <c r="G28" s="4">
        <v>23</v>
      </c>
      <c r="H28" s="4" t="s">
        <v>153</v>
      </c>
      <c r="I28" s="4"/>
      <c r="J28" s="4"/>
      <c r="K28" s="4"/>
      <c r="L28" s="4"/>
      <c r="M28" s="4"/>
      <c r="N28" s="4"/>
      <c r="O28" s="4"/>
      <c r="P28" s="4"/>
      <c r="S28" s="4" t="s">
        <v>282</v>
      </c>
      <c r="T28" s="4">
        <v>576</v>
      </c>
      <c r="U28" s="4">
        <v>47.67</v>
      </c>
      <c r="V28" s="4">
        <v>52.97</v>
      </c>
      <c r="W28" s="4">
        <v>-5.3</v>
      </c>
      <c r="X28" s="4">
        <v>0.33</v>
      </c>
      <c r="Y28" s="4">
        <v>2.5299999999999998</v>
      </c>
      <c r="Z28" s="4" t="s">
        <v>268</v>
      </c>
      <c r="AA28" s="4" t="s">
        <v>265</v>
      </c>
    </row>
    <row r="29" spans="1:31" x14ac:dyDescent="0.2">
      <c r="A29" s="4">
        <v>26</v>
      </c>
      <c r="B29" s="4" t="s">
        <v>258</v>
      </c>
      <c r="C29" s="4">
        <v>26833</v>
      </c>
      <c r="D29" s="4">
        <v>52.2</v>
      </c>
      <c r="E29" s="4">
        <v>32.76</v>
      </c>
      <c r="F29" s="4">
        <v>85</v>
      </c>
      <c r="G29" s="4">
        <v>59</v>
      </c>
      <c r="H29" s="4" t="s">
        <v>153</v>
      </c>
      <c r="I29" s="4"/>
      <c r="J29" s="4"/>
      <c r="K29" s="4"/>
      <c r="L29" s="4"/>
      <c r="M29" s="4"/>
      <c r="N29" s="4"/>
      <c r="O29" s="4"/>
      <c r="P29" s="4"/>
      <c r="S29" s="4" t="s">
        <v>283</v>
      </c>
      <c r="T29" s="4">
        <v>583</v>
      </c>
      <c r="U29" s="4">
        <v>50.36</v>
      </c>
      <c r="V29" s="4">
        <v>55.07</v>
      </c>
      <c r="W29" s="4">
        <v>-4.71</v>
      </c>
      <c r="X29" s="4">
        <v>3.02</v>
      </c>
      <c r="Y29" s="4">
        <v>4.63</v>
      </c>
      <c r="Z29" s="4" t="s">
        <v>268</v>
      </c>
      <c r="AA29" s="4" t="s">
        <v>265</v>
      </c>
    </row>
    <row r="30" spans="1:31" x14ac:dyDescent="0.2">
      <c r="A30" s="4">
        <v>27</v>
      </c>
      <c r="B30" s="4" t="s">
        <v>22</v>
      </c>
      <c r="C30" s="4">
        <v>24247</v>
      </c>
      <c r="D30" s="4">
        <v>49.71</v>
      </c>
      <c r="E30" s="4">
        <v>32.200000000000003</v>
      </c>
      <c r="F30" s="4">
        <v>109</v>
      </c>
      <c r="G30" s="4">
        <v>82</v>
      </c>
      <c r="H30" s="4" t="s">
        <v>153</v>
      </c>
      <c r="I30" s="4"/>
      <c r="J30" s="4"/>
      <c r="K30" s="4"/>
      <c r="L30" s="4"/>
      <c r="M30" s="4"/>
      <c r="N30" s="4"/>
      <c r="O30" s="4"/>
      <c r="P30" s="4"/>
      <c r="S30" s="4" t="s">
        <v>145</v>
      </c>
      <c r="T30" s="4">
        <v>4851</v>
      </c>
      <c r="U30" s="4">
        <v>48.97</v>
      </c>
      <c r="V30" s="4">
        <v>51.2</v>
      </c>
      <c r="W30" s="4">
        <v>-2.23</v>
      </c>
      <c r="X30" s="4">
        <v>1.63</v>
      </c>
      <c r="Y30" s="4">
        <v>0.76</v>
      </c>
      <c r="Z30" s="4" t="s">
        <v>268</v>
      </c>
      <c r="AA30" s="4" t="s">
        <v>265</v>
      </c>
    </row>
    <row r="31" spans="1:31" x14ac:dyDescent="0.2">
      <c r="A31" s="4">
        <v>28</v>
      </c>
      <c r="B31" s="4" t="s">
        <v>259</v>
      </c>
      <c r="C31" s="4">
        <v>23123</v>
      </c>
      <c r="D31" s="4">
        <v>51.51</v>
      </c>
      <c r="E31" s="4">
        <v>33.39</v>
      </c>
      <c r="F31" s="4">
        <v>96</v>
      </c>
      <c r="G31" s="4">
        <v>68</v>
      </c>
      <c r="H31" s="4" t="s">
        <v>153</v>
      </c>
      <c r="I31" s="4"/>
      <c r="J31" s="4"/>
      <c r="K31" s="4"/>
      <c r="L31" s="4"/>
      <c r="M31" s="4"/>
      <c r="N31" s="4"/>
      <c r="O31" s="4"/>
      <c r="P31" s="4"/>
      <c r="S31" s="4" t="s">
        <v>21</v>
      </c>
      <c r="T31" s="4">
        <v>20845</v>
      </c>
      <c r="U31" s="4">
        <v>48.59</v>
      </c>
      <c r="V31" s="4">
        <v>57.23</v>
      </c>
      <c r="W31" s="4">
        <v>-8.64</v>
      </c>
      <c r="X31" s="4">
        <v>1.25</v>
      </c>
      <c r="Y31" s="4">
        <v>6.79</v>
      </c>
      <c r="Z31" s="4" t="s">
        <v>268</v>
      </c>
      <c r="AA31" s="4" t="s">
        <v>265</v>
      </c>
    </row>
    <row r="32" spans="1:31" x14ac:dyDescent="0.2">
      <c r="A32" s="4">
        <v>29</v>
      </c>
      <c r="B32" s="4" t="s">
        <v>260</v>
      </c>
      <c r="C32" s="4">
        <v>22667</v>
      </c>
      <c r="D32" s="4">
        <v>51.79</v>
      </c>
      <c r="E32" s="4">
        <v>33.380000000000003</v>
      </c>
      <c r="F32" s="4">
        <v>91</v>
      </c>
      <c r="G32" s="4">
        <v>62</v>
      </c>
      <c r="H32" s="4" t="s">
        <v>153</v>
      </c>
      <c r="I32" s="4"/>
      <c r="J32" s="4"/>
      <c r="K32" s="4"/>
      <c r="L32" s="4"/>
      <c r="M32" s="4"/>
      <c r="N32" s="4"/>
      <c r="O32" s="4"/>
      <c r="P32" s="4"/>
      <c r="S32" s="4" t="s">
        <v>284</v>
      </c>
      <c r="T32" s="4">
        <v>541</v>
      </c>
      <c r="U32" s="4">
        <v>52.21</v>
      </c>
      <c r="V32" s="4">
        <v>56.7</v>
      </c>
      <c r="W32" s="4">
        <v>-4.49</v>
      </c>
      <c r="X32" s="4">
        <v>4.87</v>
      </c>
      <c r="Y32" s="4">
        <v>6.26</v>
      </c>
      <c r="Z32" s="4" t="s">
        <v>268</v>
      </c>
      <c r="AA32" s="4" t="s">
        <v>265</v>
      </c>
    </row>
    <row r="33" spans="1:27" x14ac:dyDescent="0.2">
      <c r="A33" s="4">
        <v>30</v>
      </c>
      <c r="B33" s="4" t="s">
        <v>261</v>
      </c>
      <c r="C33" s="4">
        <v>21672</v>
      </c>
      <c r="D33" s="4">
        <v>51.77</v>
      </c>
      <c r="E33" s="4">
        <v>33.15</v>
      </c>
      <c r="F33" s="4">
        <v>92</v>
      </c>
      <c r="G33" s="4">
        <v>62</v>
      </c>
      <c r="H33" s="4" t="s">
        <v>153</v>
      </c>
      <c r="I33" s="4"/>
      <c r="J33" s="4"/>
      <c r="K33" s="4"/>
      <c r="L33" s="4"/>
      <c r="M33" s="4"/>
      <c r="N33" s="4"/>
      <c r="O33" s="4"/>
      <c r="P33" s="4"/>
      <c r="S33" s="4" t="s">
        <v>285</v>
      </c>
      <c r="T33" s="4">
        <v>1306</v>
      </c>
      <c r="U33" s="4">
        <v>54.29</v>
      </c>
      <c r="V33" s="4">
        <v>56.96</v>
      </c>
      <c r="W33" s="4">
        <v>-2.67</v>
      </c>
      <c r="X33" s="4">
        <v>6.95</v>
      </c>
      <c r="Y33" s="4">
        <v>6.52</v>
      </c>
      <c r="Z33" s="4" t="s">
        <v>268</v>
      </c>
      <c r="AA33" s="4" t="s">
        <v>265</v>
      </c>
    </row>
    <row r="34" spans="1:27" x14ac:dyDescent="0.2">
      <c r="S34" s="4" t="s">
        <v>286</v>
      </c>
      <c r="T34" s="4">
        <v>635</v>
      </c>
      <c r="U34" s="4">
        <v>49.37</v>
      </c>
      <c r="V34" s="4">
        <v>55.68</v>
      </c>
      <c r="W34" s="4">
        <v>-6.31</v>
      </c>
      <c r="X34" s="4">
        <v>2.0299999999999998</v>
      </c>
      <c r="Y34" s="4">
        <v>5.24</v>
      </c>
      <c r="Z34" s="4" t="s">
        <v>268</v>
      </c>
      <c r="AA34" s="4" t="s">
        <v>265</v>
      </c>
    </row>
    <row r="35" spans="1:27" x14ac:dyDescent="0.2">
      <c r="S35" s="4" t="s">
        <v>250</v>
      </c>
      <c r="T35" s="4">
        <v>20642</v>
      </c>
      <c r="U35" s="4">
        <v>49.66</v>
      </c>
      <c r="V35" s="4">
        <v>55.07</v>
      </c>
      <c r="W35" s="4">
        <v>-5.41</v>
      </c>
      <c r="X35" s="4">
        <v>2.3199999999999998</v>
      </c>
      <c r="Y35" s="4">
        <v>4.63</v>
      </c>
      <c r="Z35" s="4" t="s">
        <v>268</v>
      </c>
      <c r="AA35" s="4" t="s">
        <v>265</v>
      </c>
    </row>
    <row r="36" spans="1:27" x14ac:dyDescent="0.2">
      <c r="S36" s="4" t="s">
        <v>287</v>
      </c>
      <c r="T36" s="4">
        <v>1857</v>
      </c>
      <c r="U36" s="4">
        <v>50.29</v>
      </c>
      <c r="V36" s="4">
        <v>50.49</v>
      </c>
      <c r="W36" s="4">
        <v>-0.2</v>
      </c>
      <c r="X36" s="4">
        <v>2.95</v>
      </c>
      <c r="Y36" s="4">
        <v>0.05</v>
      </c>
      <c r="Z36" s="4" t="s">
        <v>268</v>
      </c>
      <c r="AA36" s="4" t="s">
        <v>265</v>
      </c>
    </row>
    <row r="37" spans="1:27" ht="19" x14ac:dyDescent="0.25">
      <c r="B37" s="47" t="s">
        <v>472</v>
      </c>
      <c r="C37" s="47"/>
      <c r="D37" s="47"/>
      <c r="E37" s="47"/>
      <c r="F37" s="47"/>
      <c r="G37" s="47"/>
      <c r="S37" s="4" t="s">
        <v>40</v>
      </c>
      <c r="T37" s="4">
        <v>20527</v>
      </c>
      <c r="U37" s="4">
        <v>48.39</v>
      </c>
      <c r="V37" s="4">
        <v>50.52</v>
      </c>
      <c r="W37" s="4">
        <v>-2.13</v>
      </c>
      <c r="X37" s="4">
        <v>1.05</v>
      </c>
      <c r="Y37" s="4">
        <v>0.08</v>
      </c>
      <c r="Z37" s="4" t="s">
        <v>268</v>
      </c>
      <c r="AA37" s="4" t="s">
        <v>265</v>
      </c>
    </row>
    <row r="38" spans="1:27" x14ac:dyDescent="0.2">
      <c r="S38" s="4" t="s">
        <v>288</v>
      </c>
      <c r="T38" s="4">
        <v>1076</v>
      </c>
      <c r="U38" s="4">
        <v>52.5</v>
      </c>
      <c r="V38" s="4">
        <v>57.12</v>
      </c>
      <c r="W38" s="4">
        <v>-4.62</v>
      </c>
      <c r="X38" s="4">
        <v>5.16</v>
      </c>
      <c r="Y38" s="4">
        <v>6.68</v>
      </c>
      <c r="Z38" s="4" t="s">
        <v>268</v>
      </c>
      <c r="AA38" s="4" t="s">
        <v>265</v>
      </c>
    </row>
    <row r="39" spans="1:27" ht="19" x14ac:dyDescent="0.25">
      <c r="B39" s="5" t="s">
        <v>425</v>
      </c>
      <c r="C39" s="5" t="s">
        <v>179</v>
      </c>
      <c r="D39" s="5" t="s">
        <v>199</v>
      </c>
      <c r="E39" s="5" t="s">
        <v>427</v>
      </c>
      <c r="F39" s="5" t="s">
        <v>428</v>
      </c>
      <c r="G39" s="5" t="s">
        <v>429</v>
      </c>
      <c r="S39" s="4" t="s">
        <v>261</v>
      </c>
      <c r="T39" s="4">
        <v>11614</v>
      </c>
      <c r="U39" s="4">
        <v>47.71</v>
      </c>
      <c r="V39" s="4">
        <v>51.77</v>
      </c>
      <c r="W39" s="4">
        <v>-4.0599999999999996</v>
      </c>
      <c r="X39" s="4">
        <v>0.37</v>
      </c>
      <c r="Y39" s="4">
        <v>1.33</v>
      </c>
      <c r="Z39" s="4" t="s">
        <v>268</v>
      </c>
      <c r="AA39" s="4" t="s">
        <v>265</v>
      </c>
    </row>
    <row r="40" spans="1:27" x14ac:dyDescent="0.2">
      <c r="B40" s="4" t="s">
        <v>241</v>
      </c>
      <c r="C40" s="4">
        <v>152328</v>
      </c>
      <c r="D40" s="4">
        <v>55.89</v>
      </c>
      <c r="E40" s="4">
        <v>36</v>
      </c>
      <c r="F40" s="4">
        <v>35</v>
      </c>
      <c r="G40" s="4" t="s">
        <v>242</v>
      </c>
      <c r="S40" s="4" t="s">
        <v>289</v>
      </c>
      <c r="T40" s="4">
        <v>755</v>
      </c>
      <c r="U40" s="4">
        <v>60.52</v>
      </c>
      <c r="V40" s="4">
        <v>62.24</v>
      </c>
      <c r="W40" s="4">
        <v>-1.72</v>
      </c>
      <c r="X40" s="4">
        <v>13.18</v>
      </c>
      <c r="Y40" s="4">
        <v>11.8</v>
      </c>
      <c r="Z40" s="4" t="s">
        <v>268</v>
      </c>
      <c r="AA40" s="4" t="s">
        <v>265</v>
      </c>
    </row>
    <row r="41" spans="1:27" x14ac:dyDescent="0.2">
      <c r="B41" s="4" t="s">
        <v>243</v>
      </c>
      <c r="C41" s="4">
        <v>146846</v>
      </c>
      <c r="D41" s="4">
        <v>48.57</v>
      </c>
      <c r="E41" s="4">
        <v>120</v>
      </c>
      <c r="F41" s="4">
        <v>118</v>
      </c>
      <c r="G41" s="4" t="s">
        <v>242</v>
      </c>
      <c r="S41" s="4" t="s">
        <v>290</v>
      </c>
      <c r="T41" s="4">
        <v>526</v>
      </c>
      <c r="U41" s="4">
        <v>49.3</v>
      </c>
      <c r="V41" s="4">
        <v>53.44</v>
      </c>
      <c r="W41" s="4">
        <v>-4.1399999999999997</v>
      </c>
      <c r="X41" s="4">
        <v>1.96</v>
      </c>
      <c r="Y41" s="4">
        <v>3</v>
      </c>
      <c r="Z41" s="4" t="s">
        <v>268</v>
      </c>
      <c r="AA41" s="4" t="s">
        <v>265</v>
      </c>
    </row>
    <row r="42" spans="1:27" x14ac:dyDescent="0.2">
      <c r="B42" s="4" t="s">
        <v>244</v>
      </c>
      <c r="C42" s="4">
        <v>101907</v>
      </c>
      <c r="D42" s="4">
        <v>48</v>
      </c>
      <c r="E42" s="4">
        <v>123</v>
      </c>
      <c r="F42" s="4">
        <v>120</v>
      </c>
      <c r="G42" s="4" t="s">
        <v>242</v>
      </c>
      <c r="S42" s="4" t="s">
        <v>291</v>
      </c>
      <c r="T42" s="4">
        <v>2692</v>
      </c>
      <c r="U42" s="4">
        <v>50.55</v>
      </c>
      <c r="V42" s="4">
        <v>53.67</v>
      </c>
      <c r="W42" s="4">
        <v>-3.12</v>
      </c>
      <c r="X42" s="4">
        <v>3.21</v>
      </c>
      <c r="Y42" s="4">
        <v>3.23</v>
      </c>
      <c r="Z42" s="4" t="s">
        <v>268</v>
      </c>
      <c r="AA42" s="4" t="s">
        <v>265</v>
      </c>
    </row>
    <row r="43" spans="1:27" x14ac:dyDescent="0.2">
      <c r="B43" s="4" t="s">
        <v>245</v>
      </c>
      <c r="C43" s="4">
        <v>80328</v>
      </c>
      <c r="D43" s="4">
        <v>47.73</v>
      </c>
      <c r="E43" s="4">
        <v>125</v>
      </c>
      <c r="F43" s="4">
        <v>121</v>
      </c>
      <c r="G43" s="4" t="s">
        <v>242</v>
      </c>
      <c r="S43" s="4" t="s">
        <v>258</v>
      </c>
      <c r="T43" s="4">
        <v>14740</v>
      </c>
      <c r="U43" s="4">
        <v>49.23</v>
      </c>
      <c r="V43" s="4">
        <v>52.2</v>
      </c>
      <c r="W43" s="4">
        <v>-2.97</v>
      </c>
      <c r="X43" s="4">
        <v>1.89</v>
      </c>
      <c r="Y43" s="4">
        <v>1.76</v>
      </c>
      <c r="Z43" s="4" t="s">
        <v>268</v>
      </c>
      <c r="AA43" s="4" t="s">
        <v>265</v>
      </c>
    </row>
    <row r="44" spans="1:27" x14ac:dyDescent="0.2">
      <c r="B44" s="4" t="s">
        <v>13</v>
      </c>
      <c r="C44" s="4">
        <v>67616</v>
      </c>
      <c r="D44" s="4">
        <v>55.71</v>
      </c>
      <c r="E44" s="4">
        <v>41</v>
      </c>
      <c r="F44" s="4">
        <v>36</v>
      </c>
      <c r="G44" s="4" t="s">
        <v>242</v>
      </c>
      <c r="S44" s="4" t="s">
        <v>292</v>
      </c>
      <c r="T44" s="4">
        <v>760</v>
      </c>
      <c r="U44" s="4">
        <v>53.7</v>
      </c>
      <c r="V44" s="4">
        <v>62.25</v>
      </c>
      <c r="W44" s="4">
        <v>-8.5500000000000007</v>
      </c>
      <c r="X44" s="4">
        <v>6.36</v>
      </c>
      <c r="Y44" s="4">
        <v>11.81</v>
      </c>
      <c r="Z44" s="4" t="s">
        <v>268</v>
      </c>
      <c r="AA44" s="4" t="s">
        <v>265</v>
      </c>
    </row>
    <row r="45" spans="1:27" x14ac:dyDescent="0.2">
      <c r="B45" s="4" t="s">
        <v>19</v>
      </c>
      <c r="C45" s="4">
        <v>65863</v>
      </c>
      <c r="D45" s="4">
        <v>46.78</v>
      </c>
      <c r="E45" s="4">
        <v>136</v>
      </c>
      <c r="F45" s="4">
        <v>130</v>
      </c>
      <c r="G45" s="4" t="s">
        <v>242</v>
      </c>
      <c r="S45" s="4" t="s">
        <v>293</v>
      </c>
      <c r="T45" s="4">
        <v>1107</v>
      </c>
      <c r="U45" s="4">
        <v>52.38</v>
      </c>
      <c r="V45" s="4">
        <v>54.83</v>
      </c>
      <c r="W45" s="4">
        <v>-2.4500000000000002</v>
      </c>
      <c r="X45" s="4">
        <v>5.04</v>
      </c>
      <c r="Y45" s="4">
        <v>4.3899999999999997</v>
      </c>
      <c r="Z45" s="4" t="s">
        <v>268</v>
      </c>
      <c r="AA45" s="4" t="s">
        <v>265</v>
      </c>
    </row>
    <row r="46" spans="1:27" x14ac:dyDescent="0.2">
      <c r="B46" s="4" t="s">
        <v>246</v>
      </c>
      <c r="C46" s="4">
        <v>58532</v>
      </c>
      <c r="D46" s="4">
        <v>54.04</v>
      </c>
      <c r="E46" s="4">
        <v>61</v>
      </c>
      <c r="F46" s="4">
        <v>54</v>
      </c>
      <c r="G46" s="4" t="s">
        <v>242</v>
      </c>
      <c r="S46" s="4" t="s">
        <v>294</v>
      </c>
      <c r="T46" s="4">
        <v>2123</v>
      </c>
      <c r="U46" s="4">
        <v>51.29</v>
      </c>
      <c r="V46" s="4">
        <v>56.87</v>
      </c>
      <c r="W46" s="4">
        <v>-5.58</v>
      </c>
      <c r="X46" s="4">
        <v>3.95</v>
      </c>
      <c r="Y46" s="4">
        <v>6.43</v>
      </c>
      <c r="Z46" s="4" t="s">
        <v>268</v>
      </c>
      <c r="AA46" s="4" t="s">
        <v>265</v>
      </c>
    </row>
    <row r="47" spans="1:27" x14ac:dyDescent="0.2">
      <c r="B47" s="4" t="s">
        <v>17</v>
      </c>
      <c r="C47" s="4">
        <v>56300</v>
      </c>
      <c r="D47" s="4">
        <v>47.05</v>
      </c>
      <c r="E47" s="4">
        <v>133</v>
      </c>
      <c r="F47" s="4">
        <v>125</v>
      </c>
      <c r="G47" s="4" t="s">
        <v>242</v>
      </c>
      <c r="S47" s="4" t="s">
        <v>295</v>
      </c>
      <c r="T47" s="4">
        <v>704</v>
      </c>
      <c r="U47" s="4">
        <v>54.08</v>
      </c>
      <c r="V47" s="4">
        <v>55.99</v>
      </c>
      <c r="W47" s="4">
        <v>-1.91</v>
      </c>
      <c r="X47" s="4">
        <v>6.74</v>
      </c>
      <c r="Y47" s="4">
        <v>5.55</v>
      </c>
      <c r="Z47" s="4" t="s">
        <v>268</v>
      </c>
      <c r="AA47" s="4" t="s">
        <v>265</v>
      </c>
    </row>
    <row r="48" spans="1:27" x14ac:dyDescent="0.2">
      <c r="B48" s="4" t="s">
        <v>247</v>
      </c>
      <c r="C48" s="4">
        <v>55343</v>
      </c>
      <c r="D48" s="4">
        <v>44.8</v>
      </c>
      <c r="E48" s="4">
        <v>152</v>
      </c>
      <c r="F48" s="4">
        <v>143</v>
      </c>
      <c r="G48" s="4" t="s">
        <v>242</v>
      </c>
      <c r="S48" s="4" t="s">
        <v>296</v>
      </c>
      <c r="T48" s="4">
        <v>3919</v>
      </c>
      <c r="U48" s="4">
        <v>49.64</v>
      </c>
      <c r="V48" s="4">
        <v>52.38</v>
      </c>
      <c r="W48" s="4">
        <v>-2.74</v>
      </c>
      <c r="X48" s="4">
        <v>2.2999999999999998</v>
      </c>
      <c r="Y48" s="4">
        <v>1.94</v>
      </c>
      <c r="Z48" s="4" t="s">
        <v>268</v>
      </c>
      <c r="AA48" s="4" t="s">
        <v>265</v>
      </c>
    </row>
    <row r="49" spans="2:27" x14ac:dyDescent="0.2">
      <c r="B49" s="4" t="s">
        <v>248</v>
      </c>
      <c r="C49" s="4">
        <v>55037</v>
      </c>
      <c r="D49" s="4">
        <v>48.61</v>
      </c>
      <c r="E49" s="4">
        <v>119</v>
      </c>
      <c r="F49" s="4">
        <v>109</v>
      </c>
      <c r="G49" s="4" t="s">
        <v>242</v>
      </c>
      <c r="S49" s="4" t="s">
        <v>241</v>
      </c>
      <c r="T49" s="4">
        <v>82625</v>
      </c>
      <c r="U49" s="4">
        <v>52.15</v>
      </c>
      <c r="V49" s="4">
        <v>55.89</v>
      </c>
      <c r="W49" s="4">
        <v>-3.74</v>
      </c>
      <c r="X49" s="4">
        <v>4.8099999999999996</v>
      </c>
      <c r="Y49" s="4">
        <v>5.45</v>
      </c>
      <c r="Z49" s="4" t="s">
        <v>268</v>
      </c>
      <c r="AA49" s="4" t="s">
        <v>265</v>
      </c>
    </row>
    <row r="50" spans="2:27" x14ac:dyDescent="0.2">
      <c r="B50" s="4" t="s">
        <v>249</v>
      </c>
      <c r="C50" s="4">
        <v>50142</v>
      </c>
      <c r="D50" s="4">
        <v>50.62</v>
      </c>
      <c r="E50" s="4">
        <v>101</v>
      </c>
      <c r="F50" s="4">
        <v>90</v>
      </c>
      <c r="G50" s="4" t="s">
        <v>242</v>
      </c>
      <c r="S50" s="4" t="s">
        <v>297</v>
      </c>
      <c r="T50" s="4">
        <v>2356</v>
      </c>
      <c r="U50" s="4">
        <v>49.88</v>
      </c>
      <c r="V50" s="4">
        <v>52.37</v>
      </c>
      <c r="W50" s="4">
        <v>-2.4900000000000002</v>
      </c>
      <c r="X50" s="4">
        <v>2.54</v>
      </c>
      <c r="Y50" s="4">
        <v>1.93</v>
      </c>
      <c r="Z50" s="4" t="s">
        <v>268</v>
      </c>
      <c r="AA50" s="4" t="s">
        <v>265</v>
      </c>
    </row>
    <row r="51" spans="2:27" x14ac:dyDescent="0.2">
      <c r="B51" s="4" t="s">
        <v>250</v>
      </c>
      <c r="C51" s="4">
        <v>46696</v>
      </c>
      <c r="D51" s="4">
        <v>55.07</v>
      </c>
      <c r="E51" s="4">
        <v>50</v>
      </c>
      <c r="F51" s="4">
        <v>38</v>
      </c>
      <c r="G51" s="4" t="s">
        <v>242</v>
      </c>
      <c r="S51" s="4" t="s">
        <v>298</v>
      </c>
      <c r="T51" s="4">
        <v>4497</v>
      </c>
      <c r="U51" s="4">
        <v>51.28</v>
      </c>
      <c r="V51" s="4">
        <v>53.41</v>
      </c>
      <c r="W51" s="4">
        <v>-2.13</v>
      </c>
      <c r="X51" s="4">
        <v>3.94</v>
      </c>
      <c r="Y51" s="4">
        <v>2.97</v>
      </c>
      <c r="Z51" s="4" t="s">
        <v>268</v>
      </c>
      <c r="AA51" s="4" t="s">
        <v>265</v>
      </c>
    </row>
    <row r="52" spans="2:27" x14ac:dyDescent="0.2">
      <c r="B52" s="4" t="s">
        <v>21</v>
      </c>
      <c r="C52" s="4">
        <v>43069</v>
      </c>
      <c r="D52" s="4">
        <v>57.23</v>
      </c>
      <c r="E52" s="4">
        <v>19</v>
      </c>
      <c r="F52" s="4">
        <v>6</v>
      </c>
      <c r="G52" s="4" t="s">
        <v>251</v>
      </c>
      <c r="S52" s="4" t="s">
        <v>299</v>
      </c>
      <c r="T52" s="4">
        <v>541</v>
      </c>
      <c r="U52" s="4">
        <v>54.44</v>
      </c>
      <c r="V52" s="4">
        <v>57.81</v>
      </c>
      <c r="W52" s="4">
        <v>-3.37</v>
      </c>
      <c r="X52" s="4">
        <v>7.1</v>
      </c>
      <c r="Y52" s="4">
        <v>7.37</v>
      </c>
      <c r="Z52" s="4" t="s">
        <v>268</v>
      </c>
      <c r="AA52" s="4" t="s">
        <v>265</v>
      </c>
    </row>
    <row r="53" spans="2:27" x14ac:dyDescent="0.2">
      <c r="B53" s="4" t="s">
        <v>40</v>
      </c>
      <c r="C53" s="4">
        <v>41162</v>
      </c>
      <c r="D53" s="4">
        <v>50.52</v>
      </c>
      <c r="E53" s="4">
        <v>104</v>
      </c>
      <c r="F53" s="4">
        <v>90</v>
      </c>
      <c r="G53" s="4" t="s">
        <v>242</v>
      </c>
      <c r="S53" s="4" t="s">
        <v>300</v>
      </c>
      <c r="T53" s="4">
        <v>931</v>
      </c>
      <c r="U53" s="4">
        <v>47.81</v>
      </c>
      <c r="V53" s="4">
        <v>54.41</v>
      </c>
      <c r="W53" s="4">
        <v>-6.6</v>
      </c>
      <c r="X53" s="4">
        <v>0.47</v>
      </c>
      <c r="Y53" s="4">
        <v>3.97</v>
      </c>
      <c r="Z53" s="4" t="s">
        <v>268</v>
      </c>
      <c r="AA53" s="4" t="s">
        <v>265</v>
      </c>
    </row>
    <row r="54" spans="2:27" x14ac:dyDescent="0.2">
      <c r="B54" s="4" t="s">
        <v>34</v>
      </c>
      <c r="C54" s="4">
        <v>38276</v>
      </c>
      <c r="D54" s="4">
        <v>49.24</v>
      </c>
      <c r="E54" s="4">
        <v>111</v>
      </c>
      <c r="F54" s="4">
        <v>96</v>
      </c>
      <c r="G54" s="4" t="s">
        <v>242</v>
      </c>
      <c r="S54" s="4" t="s">
        <v>144</v>
      </c>
      <c r="T54" s="4">
        <v>17112</v>
      </c>
      <c r="U54" s="4">
        <v>50.58</v>
      </c>
      <c r="V54" s="4">
        <v>54.76</v>
      </c>
      <c r="W54" s="4">
        <v>-4.18</v>
      </c>
      <c r="X54" s="4">
        <v>3.24</v>
      </c>
      <c r="Y54" s="4">
        <v>4.32</v>
      </c>
      <c r="Z54" s="4" t="s">
        <v>268</v>
      </c>
      <c r="AA54" s="4" t="s">
        <v>265</v>
      </c>
    </row>
    <row r="55" spans="2:27" x14ac:dyDescent="0.2">
      <c r="S55" s="4" t="s">
        <v>301</v>
      </c>
      <c r="T55" s="4">
        <v>589</v>
      </c>
      <c r="U55" s="4">
        <v>52.88</v>
      </c>
      <c r="V55" s="4">
        <v>58.08</v>
      </c>
      <c r="W55" s="4">
        <v>-5.2</v>
      </c>
      <c r="X55" s="4">
        <v>5.54</v>
      </c>
      <c r="Y55" s="4">
        <v>7.64</v>
      </c>
      <c r="Z55" s="4" t="s">
        <v>268</v>
      </c>
      <c r="AA55" s="4" t="s">
        <v>265</v>
      </c>
    </row>
    <row r="56" spans="2:27" x14ac:dyDescent="0.2">
      <c r="S56" s="4" t="s">
        <v>302</v>
      </c>
      <c r="T56" s="4">
        <v>6408</v>
      </c>
      <c r="U56" s="4">
        <v>47.59</v>
      </c>
      <c r="V56" s="4">
        <v>52.42</v>
      </c>
      <c r="W56" s="4">
        <v>-4.83</v>
      </c>
      <c r="X56" s="4">
        <v>0.25</v>
      </c>
      <c r="Y56" s="4">
        <v>1.98</v>
      </c>
      <c r="Z56" s="4" t="s">
        <v>268</v>
      </c>
      <c r="AA56" s="4" t="s">
        <v>265</v>
      </c>
    </row>
    <row r="57" spans="2:27" x14ac:dyDescent="0.2">
      <c r="S57" s="4" t="s">
        <v>303</v>
      </c>
      <c r="T57" s="4">
        <v>3239</v>
      </c>
      <c r="U57" s="4">
        <v>49.27</v>
      </c>
      <c r="V57" s="4">
        <v>52.58</v>
      </c>
      <c r="W57" s="4">
        <v>-3.31</v>
      </c>
      <c r="X57" s="4">
        <v>1.93</v>
      </c>
      <c r="Y57" s="4">
        <v>2.14</v>
      </c>
      <c r="Z57" s="4" t="s">
        <v>268</v>
      </c>
      <c r="AA57" s="4" t="s">
        <v>265</v>
      </c>
    </row>
    <row r="58" spans="2:27" x14ac:dyDescent="0.2">
      <c r="S58" s="4" t="s">
        <v>8</v>
      </c>
      <c r="T58" s="4">
        <v>1170</v>
      </c>
      <c r="U58" s="4">
        <v>52.05</v>
      </c>
      <c r="V58" s="4">
        <v>58.05</v>
      </c>
      <c r="W58" s="4">
        <v>-6</v>
      </c>
      <c r="X58" s="4">
        <v>4.71</v>
      </c>
      <c r="Y58" s="4">
        <v>7.61</v>
      </c>
      <c r="Z58" s="4" t="s">
        <v>268</v>
      </c>
      <c r="AA58" s="4" t="s">
        <v>265</v>
      </c>
    </row>
    <row r="59" spans="2:27" x14ac:dyDescent="0.2">
      <c r="S59" s="4" t="s">
        <v>304</v>
      </c>
      <c r="T59" s="4">
        <v>9565</v>
      </c>
      <c r="U59" s="4">
        <v>50.12</v>
      </c>
      <c r="V59" s="4">
        <v>53.08</v>
      </c>
      <c r="W59" s="4">
        <v>-2.96</v>
      </c>
      <c r="X59" s="4">
        <v>2.78</v>
      </c>
      <c r="Y59" s="4">
        <v>2.64</v>
      </c>
      <c r="Z59" s="4" t="s">
        <v>268</v>
      </c>
      <c r="AA59" s="4" t="s">
        <v>265</v>
      </c>
    </row>
    <row r="60" spans="2:27" x14ac:dyDescent="0.2">
      <c r="S60" s="4" t="s">
        <v>305</v>
      </c>
      <c r="T60" s="4">
        <v>3059</v>
      </c>
      <c r="U60" s="4">
        <v>51.88</v>
      </c>
      <c r="V60" s="4">
        <v>56.5</v>
      </c>
      <c r="W60" s="4">
        <v>-4.62</v>
      </c>
      <c r="X60" s="4">
        <v>4.54</v>
      </c>
      <c r="Y60" s="4">
        <v>6.06</v>
      </c>
      <c r="Z60" s="4" t="s">
        <v>268</v>
      </c>
      <c r="AA60" s="4" t="s">
        <v>265</v>
      </c>
    </row>
    <row r="61" spans="2:27" x14ac:dyDescent="0.2">
      <c r="S61" s="4" t="s">
        <v>306</v>
      </c>
      <c r="T61" s="4">
        <v>566</v>
      </c>
      <c r="U61" s="4">
        <v>53.16</v>
      </c>
      <c r="V61" s="4">
        <v>55.53</v>
      </c>
      <c r="W61" s="4">
        <v>-2.37</v>
      </c>
      <c r="X61" s="4">
        <v>5.82</v>
      </c>
      <c r="Y61" s="4">
        <v>5.09</v>
      </c>
      <c r="Z61" s="4" t="s">
        <v>268</v>
      </c>
      <c r="AA61" s="4" t="s">
        <v>265</v>
      </c>
    </row>
    <row r="62" spans="2:27" x14ac:dyDescent="0.2">
      <c r="S62" s="4" t="s">
        <v>307</v>
      </c>
      <c r="T62" s="4">
        <v>2296</v>
      </c>
      <c r="U62" s="4">
        <v>49.96</v>
      </c>
      <c r="V62" s="4">
        <v>56.72</v>
      </c>
      <c r="W62" s="4">
        <v>-6.76</v>
      </c>
      <c r="X62" s="4">
        <v>2.62</v>
      </c>
      <c r="Y62" s="4">
        <v>6.28</v>
      </c>
      <c r="Z62" s="4" t="s">
        <v>268</v>
      </c>
      <c r="AA62" s="4" t="s">
        <v>265</v>
      </c>
    </row>
    <row r="63" spans="2:27" x14ac:dyDescent="0.2">
      <c r="S63" s="4" t="s">
        <v>308</v>
      </c>
      <c r="T63" s="4">
        <v>597</v>
      </c>
      <c r="U63" s="4">
        <v>49.11</v>
      </c>
      <c r="V63" s="4">
        <v>58.76</v>
      </c>
      <c r="W63" s="4">
        <v>-9.65</v>
      </c>
      <c r="X63" s="4">
        <v>1.77</v>
      </c>
      <c r="Y63" s="4">
        <v>8.32</v>
      </c>
      <c r="Z63" s="4" t="s">
        <v>268</v>
      </c>
      <c r="AA63" s="4" t="s">
        <v>265</v>
      </c>
    </row>
    <row r="64" spans="2:27" x14ac:dyDescent="0.2">
      <c r="S64" s="4" t="s">
        <v>309</v>
      </c>
      <c r="T64" s="4">
        <v>3880</v>
      </c>
      <c r="U64" s="4">
        <v>49.4</v>
      </c>
      <c r="V64" s="4">
        <v>51.72</v>
      </c>
      <c r="W64" s="4">
        <v>-2.3199999999999998</v>
      </c>
      <c r="X64" s="4">
        <v>2.06</v>
      </c>
      <c r="Y64" s="4">
        <v>1.28</v>
      </c>
      <c r="Z64" s="4" t="s">
        <v>268</v>
      </c>
      <c r="AA64" s="4" t="s">
        <v>265</v>
      </c>
    </row>
    <row r="65" spans="19:27" x14ac:dyDescent="0.2">
      <c r="S65" s="4" t="s">
        <v>310</v>
      </c>
      <c r="T65" s="4">
        <v>2211</v>
      </c>
      <c r="U65" s="4">
        <v>49.67</v>
      </c>
      <c r="V65" s="4">
        <v>52.83</v>
      </c>
      <c r="W65" s="4">
        <v>-3.16</v>
      </c>
      <c r="X65" s="4">
        <v>2.33</v>
      </c>
      <c r="Y65" s="4">
        <v>2.39</v>
      </c>
      <c r="Z65" s="4" t="s">
        <v>268</v>
      </c>
      <c r="AA65" s="4" t="s">
        <v>265</v>
      </c>
    </row>
    <row r="66" spans="19:27" x14ac:dyDescent="0.2">
      <c r="S66" s="4" t="s">
        <v>311</v>
      </c>
      <c r="T66" s="4">
        <v>1589</v>
      </c>
      <c r="U66" s="4">
        <v>56.95</v>
      </c>
      <c r="V66" s="4">
        <v>57.45</v>
      </c>
      <c r="W66" s="4">
        <v>-0.5</v>
      </c>
      <c r="X66" s="4">
        <v>9.61</v>
      </c>
      <c r="Y66" s="4">
        <v>7.01</v>
      </c>
      <c r="Z66" s="4" t="s">
        <v>268</v>
      </c>
      <c r="AA66" s="4" t="s">
        <v>265</v>
      </c>
    </row>
    <row r="67" spans="19:27" x14ac:dyDescent="0.2">
      <c r="S67" s="4" t="s">
        <v>312</v>
      </c>
      <c r="T67" s="4">
        <v>927</v>
      </c>
      <c r="U67" s="4">
        <v>54.21</v>
      </c>
      <c r="V67" s="4">
        <v>56.45</v>
      </c>
      <c r="W67" s="4">
        <v>-2.2400000000000002</v>
      </c>
      <c r="X67" s="4">
        <v>6.87</v>
      </c>
      <c r="Y67" s="4">
        <v>6.01</v>
      </c>
      <c r="Z67" s="4" t="s">
        <v>268</v>
      </c>
      <c r="AA67" s="4" t="s">
        <v>265</v>
      </c>
    </row>
    <row r="68" spans="19:27" x14ac:dyDescent="0.2">
      <c r="S68" s="4" t="s">
        <v>313</v>
      </c>
      <c r="T68" s="4">
        <v>750</v>
      </c>
      <c r="U68" s="4">
        <v>60.61</v>
      </c>
      <c r="V68" s="4">
        <v>61.96</v>
      </c>
      <c r="W68" s="4">
        <v>-1.35</v>
      </c>
      <c r="X68" s="4">
        <v>13.27</v>
      </c>
      <c r="Y68" s="4">
        <v>11.52</v>
      </c>
      <c r="Z68" s="4" t="s">
        <v>268</v>
      </c>
      <c r="AA68" s="4" t="s">
        <v>265</v>
      </c>
    </row>
    <row r="69" spans="19:27" x14ac:dyDescent="0.2">
      <c r="S69" s="4" t="s">
        <v>39</v>
      </c>
      <c r="T69" s="4">
        <v>3502</v>
      </c>
      <c r="U69" s="4">
        <v>49.63</v>
      </c>
      <c r="V69" s="4">
        <v>53.11</v>
      </c>
      <c r="W69" s="4">
        <v>-3.48</v>
      </c>
      <c r="X69" s="4">
        <v>2.29</v>
      </c>
      <c r="Y69" s="4">
        <v>2.67</v>
      </c>
      <c r="Z69" s="4" t="s">
        <v>268</v>
      </c>
      <c r="AA69" s="4" t="s">
        <v>265</v>
      </c>
    </row>
    <row r="70" spans="19:27" x14ac:dyDescent="0.2">
      <c r="S70" s="4" t="s">
        <v>246</v>
      </c>
      <c r="T70" s="4">
        <v>27939</v>
      </c>
      <c r="U70" s="4">
        <v>54.03</v>
      </c>
      <c r="V70" s="4">
        <v>54.04</v>
      </c>
      <c r="W70" s="4">
        <v>-0.01</v>
      </c>
      <c r="X70" s="4">
        <v>6.69</v>
      </c>
      <c r="Y70" s="4">
        <v>3.6</v>
      </c>
      <c r="Z70" s="4" t="s">
        <v>268</v>
      </c>
      <c r="AA70" s="4" t="s">
        <v>265</v>
      </c>
    </row>
    <row r="71" spans="19:27" x14ac:dyDescent="0.2">
      <c r="S71" s="4" t="s">
        <v>314</v>
      </c>
      <c r="T71" s="4">
        <v>1504</v>
      </c>
      <c r="U71" s="4">
        <v>52.21</v>
      </c>
      <c r="V71" s="4">
        <v>57.48</v>
      </c>
      <c r="W71" s="4">
        <v>-5.27</v>
      </c>
      <c r="X71" s="4">
        <v>4.87</v>
      </c>
      <c r="Y71" s="4">
        <v>7.04</v>
      </c>
      <c r="Z71" s="4" t="s">
        <v>268</v>
      </c>
      <c r="AA71" s="4" t="s">
        <v>265</v>
      </c>
    </row>
    <row r="72" spans="19:27" x14ac:dyDescent="0.2">
      <c r="S72" s="4" t="s">
        <v>315</v>
      </c>
      <c r="T72" s="4">
        <v>3417</v>
      </c>
      <c r="U72" s="4">
        <v>49.08</v>
      </c>
      <c r="V72" s="4">
        <v>51.93</v>
      </c>
      <c r="W72" s="4">
        <v>-2.85</v>
      </c>
      <c r="X72" s="4">
        <v>1.74</v>
      </c>
      <c r="Y72" s="4">
        <v>1.49</v>
      </c>
      <c r="Z72" s="4" t="s">
        <v>268</v>
      </c>
      <c r="AA72" s="4" t="s">
        <v>265</v>
      </c>
    </row>
    <row r="73" spans="19:27" x14ac:dyDescent="0.2">
      <c r="S73" s="4" t="s">
        <v>316</v>
      </c>
      <c r="T73" s="4">
        <v>1031</v>
      </c>
      <c r="U73" s="4">
        <v>48.37</v>
      </c>
      <c r="V73" s="4">
        <v>52.37</v>
      </c>
      <c r="W73" s="4">
        <v>-4</v>
      </c>
      <c r="X73" s="4">
        <v>1.03</v>
      </c>
      <c r="Y73" s="4">
        <v>1.93</v>
      </c>
      <c r="Z73" s="4" t="s">
        <v>268</v>
      </c>
      <c r="AA73" s="4" t="s">
        <v>265</v>
      </c>
    </row>
    <row r="74" spans="19:27" x14ac:dyDescent="0.2">
      <c r="S74" s="4" t="s">
        <v>317</v>
      </c>
      <c r="T74" s="4">
        <v>2110</v>
      </c>
      <c r="U74" s="4">
        <v>49.23</v>
      </c>
      <c r="V74" s="4">
        <v>54.92</v>
      </c>
      <c r="W74" s="4">
        <v>-5.69</v>
      </c>
      <c r="X74" s="4">
        <v>1.89</v>
      </c>
      <c r="Y74" s="4">
        <v>4.4800000000000004</v>
      </c>
      <c r="Z74" s="4" t="s">
        <v>268</v>
      </c>
      <c r="AA74" s="4" t="s">
        <v>265</v>
      </c>
    </row>
    <row r="75" spans="19:27" x14ac:dyDescent="0.2">
      <c r="S75" s="4" t="s">
        <v>318</v>
      </c>
      <c r="T75" s="4">
        <v>812</v>
      </c>
      <c r="U75" s="4">
        <v>49.33</v>
      </c>
      <c r="V75" s="4">
        <v>52.41</v>
      </c>
      <c r="W75" s="4">
        <v>-3.08</v>
      </c>
      <c r="X75" s="4">
        <v>1.99</v>
      </c>
      <c r="Y75" s="4">
        <v>1.97</v>
      </c>
      <c r="Z75" s="4" t="s">
        <v>268</v>
      </c>
      <c r="AA75" s="4" t="s">
        <v>265</v>
      </c>
    </row>
    <row r="76" spans="19:27" x14ac:dyDescent="0.2">
      <c r="S76" s="4" t="s">
        <v>319</v>
      </c>
      <c r="T76" s="4">
        <v>648</v>
      </c>
      <c r="U76" s="4">
        <v>51.85</v>
      </c>
      <c r="V76" s="4">
        <v>56.8</v>
      </c>
      <c r="W76" s="4">
        <v>-4.95</v>
      </c>
      <c r="X76" s="4">
        <v>4.51</v>
      </c>
      <c r="Y76" s="4">
        <v>6.36</v>
      </c>
      <c r="Z76" s="4" t="s">
        <v>268</v>
      </c>
      <c r="AA76" s="4" t="s">
        <v>265</v>
      </c>
    </row>
    <row r="77" spans="19:27" x14ac:dyDescent="0.2">
      <c r="S77" s="4" t="s">
        <v>320</v>
      </c>
      <c r="T77" s="4">
        <v>2100</v>
      </c>
      <c r="U77" s="4">
        <v>52.06</v>
      </c>
      <c r="V77" s="4">
        <v>55.67</v>
      </c>
      <c r="W77" s="4">
        <v>-3.61</v>
      </c>
      <c r="X77" s="4">
        <v>4.72</v>
      </c>
      <c r="Y77" s="4">
        <v>5.23</v>
      </c>
      <c r="Z77" s="4" t="s">
        <v>268</v>
      </c>
      <c r="AA77" s="4" t="s">
        <v>265</v>
      </c>
    </row>
    <row r="78" spans="19:27" x14ac:dyDescent="0.2">
      <c r="S78" s="4" t="s">
        <v>321</v>
      </c>
      <c r="T78" s="4">
        <v>2284</v>
      </c>
      <c r="U78" s="4">
        <v>51.13</v>
      </c>
      <c r="V78" s="4">
        <v>55.79</v>
      </c>
      <c r="W78" s="4">
        <v>-4.66</v>
      </c>
      <c r="X78" s="4">
        <v>3.79</v>
      </c>
      <c r="Y78" s="4">
        <v>5.35</v>
      </c>
      <c r="Z78" s="4" t="s">
        <v>268</v>
      </c>
      <c r="AA78" s="4" t="s">
        <v>265</v>
      </c>
    </row>
    <row r="79" spans="19:27" x14ac:dyDescent="0.2">
      <c r="S79" s="4" t="s">
        <v>322</v>
      </c>
      <c r="T79" s="4">
        <v>777</v>
      </c>
      <c r="U79" s="4">
        <v>62.05</v>
      </c>
      <c r="V79" s="4">
        <v>64.87</v>
      </c>
      <c r="W79" s="4">
        <v>-2.82</v>
      </c>
      <c r="X79" s="4">
        <v>14.71</v>
      </c>
      <c r="Y79" s="4">
        <v>14.43</v>
      </c>
      <c r="Z79" s="4" t="s">
        <v>268</v>
      </c>
      <c r="AA79" s="4" t="s">
        <v>265</v>
      </c>
    </row>
    <row r="80" spans="19:27" x14ac:dyDescent="0.2">
      <c r="S80" s="4" t="s">
        <v>323</v>
      </c>
      <c r="T80" s="4">
        <v>1901</v>
      </c>
      <c r="U80" s="4">
        <v>48.33</v>
      </c>
      <c r="V80" s="4">
        <v>52.53</v>
      </c>
      <c r="W80" s="4">
        <v>-4.2</v>
      </c>
      <c r="X80" s="4">
        <v>0.99</v>
      </c>
      <c r="Y80" s="4">
        <v>2.09</v>
      </c>
      <c r="Z80" s="4" t="s">
        <v>268</v>
      </c>
      <c r="AA80" s="4" t="s">
        <v>265</v>
      </c>
    </row>
    <row r="81" spans="19:27" x14ac:dyDescent="0.2">
      <c r="S81" s="4" t="s">
        <v>324</v>
      </c>
      <c r="T81" s="4">
        <v>1063</v>
      </c>
      <c r="U81" s="4">
        <v>50.72</v>
      </c>
      <c r="V81" s="4">
        <v>54.69</v>
      </c>
      <c r="W81" s="4">
        <v>-3.97</v>
      </c>
      <c r="X81" s="4">
        <v>3.38</v>
      </c>
      <c r="Y81" s="4">
        <v>4.25</v>
      </c>
      <c r="Z81" s="4" t="s">
        <v>268</v>
      </c>
      <c r="AA81" s="4" t="s">
        <v>265</v>
      </c>
    </row>
    <row r="82" spans="19:27" x14ac:dyDescent="0.2">
      <c r="S82" s="4" t="s">
        <v>325</v>
      </c>
      <c r="T82" s="4">
        <v>883</v>
      </c>
      <c r="U82" s="4">
        <v>51.22</v>
      </c>
      <c r="V82" s="4">
        <v>55.95</v>
      </c>
      <c r="W82" s="4">
        <v>-4.7300000000000004</v>
      </c>
      <c r="X82" s="4">
        <v>3.88</v>
      </c>
      <c r="Y82" s="4">
        <v>5.51</v>
      </c>
      <c r="Z82" s="4" t="s">
        <v>268</v>
      </c>
      <c r="AA82" s="4" t="s">
        <v>265</v>
      </c>
    </row>
    <row r="83" spans="19:27" x14ac:dyDescent="0.2">
      <c r="S83" s="4" t="s">
        <v>326</v>
      </c>
      <c r="T83" s="4">
        <v>636</v>
      </c>
      <c r="U83" s="4">
        <v>53.17</v>
      </c>
      <c r="V83" s="4">
        <v>55.44</v>
      </c>
      <c r="W83" s="4">
        <v>-2.27</v>
      </c>
      <c r="X83" s="4">
        <v>5.83</v>
      </c>
      <c r="Y83" s="4">
        <v>5</v>
      </c>
      <c r="Z83" s="4" t="s">
        <v>268</v>
      </c>
      <c r="AA83" s="4" t="s">
        <v>265</v>
      </c>
    </row>
    <row r="84" spans="19:27" x14ac:dyDescent="0.2">
      <c r="S84" s="4" t="s">
        <v>327</v>
      </c>
      <c r="T84" s="4">
        <v>544</v>
      </c>
      <c r="U84" s="4">
        <v>52.58</v>
      </c>
      <c r="V84" s="4">
        <v>60.16</v>
      </c>
      <c r="W84" s="4">
        <v>-7.58</v>
      </c>
      <c r="X84" s="4">
        <v>5.24</v>
      </c>
      <c r="Y84" s="4">
        <v>9.7200000000000006</v>
      </c>
      <c r="Z84" s="4" t="s">
        <v>268</v>
      </c>
      <c r="AA84" s="4" t="s">
        <v>265</v>
      </c>
    </row>
    <row r="85" spans="19:27" x14ac:dyDescent="0.2">
      <c r="S85" s="4" t="s">
        <v>328</v>
      </c>
      <c r="T85" s="4">
        <v>760</v>
      </c>
      <c r="U85" s="4">
        <v>50.43</v>
      </c>
      <c r="V85" s="4">
        <v>55.15</v>
      </c>
      <c r="W85" s="4">
        <v>-4.72</v>
      </c>
      <c r="X85" s="4">
        <v>3.09</v>
      </c>
      <c r="Y85" s="4">
        <v>4.71</v>
      </c>
      <c r="Z85" s="4" t="s">
        <v>268</v>
      </c>
      <c r="AA85" s="4" t="s">
        <v>265</v>
      </c>
    </row>
    <row r="86" spans="19:27" x14ac:dyDescent="0.2">
      <c r="S86" s="4" t="s">
        <v>329</v>
      </c>
      <c r="T86" s="4">
        <v>2133</v>
      </c>
      <c r="U86" s="4">
        <v>49.46</v>
      </c>
      <c r="V86" s="4">
        <v>50.62</v>
      </c>
      <c r="W86" s="4">
        <v>-1.1599999999999999</v>
      </c>
      <c r="X86" s="4">
        <v>2.12</v>
      </c>
      <c r="Y86" s="4">
        <v>0.18</v>
      </c>
      <c r="Z86" s="4" t="s">
        <v>268</v>
      </c>
      <c r="AA86" s="4" t="s">
        <v>265</v>
      </c>
    </row>
    <row r="87" spans="19:27" x14ac:dyDescent="0.2">
      <c r="S87" s="4" t="s">
        <v>252</v>
      </c>
      <c r="T87" s="4">
        <v>17853</v>
      </c>
      <c r="U87" s="4">
        <v>49.84</v>
      </c>
      <c r="V87" s="4">
        <v>55.79</v>
      </c>
      <c r="W87" s="4">
        <v>-5.95</v>
      </c>
      <c r="X87" s="4">
        <v>2.5</v>
      </c>
      <c r="Y87" s="4">
        <v>5.35</v>
      </c>
      <c r="Z87" s="4" t="s">
        <v>268</v>
      </c>
      <c r="AA87" s="4" t="s">
        <v>265</v>
      </c>
    </row>
    <row r="88" spans="19:27" x14ac:dyDescent="0.2">
      <c r="S88" s="4" t="s">
        <v>330</v>
      </c>
      <c r="T88" s="4">
        <v>1142</v>
      </c>
      <c r="U88" s="4">
        <v>50.38</v>
      </c>
      <c r="V88" s="4">
        <v>58.4</v>
      </c>
      <c r="W88" s="4">
        <v>-8.02</v>
      </c>
      <c r="X88" s="4">
        <v>3.04</v>
      </c>
      <c r="Y88" s="4">
        <v>7.96</v>
      </c>
      <c r="Z88" s="4" t="s">
        <v>268</v>
      </c>
      <c r="AA88" s="4" t="s">
        <v>265</v>
      </c>
    </row>
    <row r="89" spans="19:27" x14ac:dyDescent="0.2">
      <c r="S89" s="4" t="s">
        <v>331</v>
      </c>
      <c r="T89" s="4">
        <v>4007</v>
      </c>
      <c r="U89" s="4">
        <v>48.88</v>
      </c>
      <c r="V89" s="4">
        <v>54.09</v>
      </c>
      <c r="W89" s="4">
        <v>-5.21</v>
      </c>
      <c r="X89" s="4">
        <v>1.54</v>
      </c>
      <c r="Y89" s="4">
        <v>3.65</v>
      </c>
      <c r="Z89" s="4" t="s">
        <v>268</v>
      </c>
      <c r="AA89" s="4" t="s">
        <v>265</v>
      </c>
    </row>
    <row r="90" spans="19:27" x14ac:dyDescent="0.2">
      <c r="S90" s="4" t="s">
        <v>332</v>
      </c>
      <c r="T90" s="4">
        <v>1791</v>
      </c>
      <c r="U90" s="4">
        <v>53.98</v>
      </c>
      <c r="V90" s="4">
        <v>56.54</v>
      </c>
      <c r="W90" s="4">
        <v>-2.56</v>
      </c>
      <c r="X90" s="4">
        <v>6.64</v>
      </c>
      <c r="Y90" s="4">
        <v>6.1</v>
      </c>
      <c r="Z90" s="4" t="s">
        <v>268</v>
      </c>
      <c r="AA90" s="4" t="s">
        <v>265</v>
      </c>
    </row>
    <row r="91" spans="19:27" x14ac:dyDescent="0.2">
      <c r="S91" s="4" t="s">
        <v>38</v>
      </c>
      <c r="T91" s="4">
        <v>1410</v>
      </c>
      <c r="U91" s="4">
        <v>47.83</v>
      </c>
      <c r="V91" s="4">
        <v>54.61</v>
      </c>
      <c r="W91" s="4">
        <v>-6.78</v>
      </c>
      <c r="X91" s="4">
        <v>0.49</v>
      </c>
      <c r="Y91" s="4">
        <v>4.17</v>
      </c>
      <c r="Z91" s="4" t="s">
        <v>268</v>
      </c>
      <c r="AA91" s="4" t="s">
        <v>265</v>
      </c>
    </row>
    <row r="92" spans="19:27" x14ac:dyDescent="0.2">
      <c r="S92" s="4" t="s">
        <v>333</v>
      </c>
      <c r="T92" s="4">
        <v>566</v>
      </c>
      <c r="U92" s="4">
        <v>49.85</v>
      </c>
      <c r="V92" s="4">
        <v>56.02</v>
      </c>
      <c r="W92" s="4">
        <v>-6.17</v>
      </c>
      <c r="X92" s="4">
        <v>2.5099999999999998</v>
      </c>
      <c r="Y92" s="4">
        <v>5.58</v>
      </c>
      <c r="Z92" s="4" t="s">
        <v>268</v>
      </c>
      <c r="AA92" s="4" t="s">
        <v>265</v>
      </c>
    </row>
    <row r="93" spans="19:27" x14ac:dyDescent="0.2">
      <c r="S93" s="4" t="s">
        <v>334</v>
      </c>
      <c r="T93" s="4">
        <v>1314</v>
      </c>
      <c r="U93" s="4">
        <v>51.41</v>
      </c>
      <c r="V93" s="4">
        <v>56.38</v>
      </c>
      <c r="W93" s="4">
        <v>-4.97</v>
      </c>
      <c r="X93" s="4">
        <v>4.07</v>
      </c>
      <c r="Y93" s="4">
        <v>5.94</v>
      </c>
      <c r="Z93" s="4" t="s">
        <v>268</v>
      </c>
      <c r="AA93" s="4" t="s">
        <v>265</v>
      </c>
    </row>
    <row r="94" spans="19:27" x14ac:dyDescent="0.2">
      <c r="S94" s="4" t="s">
        <v>335</v>
      </c>
      <c r="T94" s="4">
        <v>2299</v>
      </c>
      <c r="U94" s="4">
        <v>50.04</v>
      </c>
      <c r="V94" s="4">
        <v>52.84</v>
      </c>
      <c r="W94" s="4">
        <v>-2.8</v>
      </c>
      <c r="X94" s="4">
        <v>2.7</v>
      </c>
      <c r="Y94" s="4">
        <v>2.4</v>
      </c>
      <c r="Z94" s="4" t="s">
        <v>268</v>
      </c>
      <c r="AA94" s="4" t="s">
        <v>265</v>
      </c>
    </row>
    <row r="95" spans="19:27" x14ac:dyDescent="0.2">
      <c r="S95" s="4" t="s">
        <v>336</v>
      </c>
      <c r="T95" s="4">
        <v>1473</v>
      </c>
      <c r="U95" s="4">
        <v>50.03</v>
      </c>
      <c r="V95" s="4">
        <v>55.85</v>
      </c>
      <c r="W95" s="4">
        <v>-5.82</v>
      </c>
      <c r="X95" s="4">
        <v>2.69</v>
      </c>
      <c r="Y95" s="4">
        <v>5.41</v>
      </c>
      <c r="Z95" s="4" t="s">
        <v>268</v>
      </c>
      <c r="AA95" s="4" t="s">
        <v>265</v>
      </c>
    </row>
    <row r="96" spans="19:27" x14ac:dyDescent="0.2">
      <c r="S96" s="4" t="s">
        <v>337</v>
      </c>
      <c r="T96" s="4">
        <v>10264</v>
      </c>
      <c r="U96" s="4">
        <v>47.89</v>
      </c>
      <c r="V96" s="4">
        <v>51.9</v>
      </c>
      <c r="W96" s="4">
        <v>-4.01</v>
      </c>
      <c r="X96" s="4">
        <v>0.55000000000000004</v>
      </c>
      <c r="Y96" s="4">
        <v>1.46</v>
      </c>
      <c r="Z96" s="4" t="s">
        <v>268</v>
      </c>
      <c r="AA96" s="4" t="s">
        <v>265</v>
      </c>
    </row>
    <row r="97" spans="19:27" x14ac:dyDescent="0.2">
      <c r="S97" s="4" t="s">
        <v>23</v>
      </c>
      <c r="T97" s="4">
        <v>5044</v>
      </c>
      <c r="U97" s="4">
        <v>50.02</v>
      </c>
      <c r="V97" s="4">
        <v>53.54</v>
      </c>
      <c r="W97" s="4">
        <v>-3.52</v>
      </c>
      <c r="X97" s="4">
        <v>2.68</v>
      </c>
      <c r="Y97" s="4">
        <v>3.1</v>
      </c>
      <c r="Z97" s="4" t="s">
        <v>268</v>
      </c>
      <c r="AA97" s="4" t="s">
        <v>265</v>
      </c>
    </row>
    <row r="98" spans="19:27" x14ac:dyDescent="0.2">
      <c r="S98" s="4" t="s">
        <v>338</v>
      </c>
      <c r="T98" s="4">
        <v>1558</v>
      </c>
      <c r="U98" s="4">
        <v>46.95</v>
      </c>
      <c r="V98" s="4">
        <v>52.5</v>
      </c>
      <c r="W98" s="4">
        <v>-5.55</v>
      </c>
      <c r="X98" s="4">
        <v>-0.39</v>
      </c>
      <c r="Y98" s="4">
        <v>2.06</v>
      </c>
      <c r="Z98" s="4" t="s">
        <v>339</v>
      </c>
      <c r="AA98" s="4" t="s">
        <v>265</v>
      </c>
    </row>
    <row r="99" spans="19:27" x14ac:dyDescent="0.2">
      <c r="S99" s="4" t="s">
        <v>340</v>
      </c>
      <c r="T99" s="4">
        <v>7385</v>
      </c>
      <c r="U99" s="4">
        <v>45.5</v>
      </c>
      <c r="V99" s="4">
        <v>51.55</v>
      </c>
      <c r="W99" s="4">
        <v>-6.05</v>
      </c>
      <c r="X99" s="4">
        <v>-1.84</v>
      </c>
      <c r="Y99" s="4">
        <v>1.1100000000000001</v>
      </c>
      <c r="Z99" s="4" t="s">
        <v>339</v>
      </c>
      <c r="AA99" s="4" t="s">
        <v>265</v>
      </c>
    </row>
    <row r="100" spans="19:27" x14ac:dyDescent="0.2">
      <c r="S100" s="4" t="s">
        <v>341</v>
      </c>
      <c r="T100" s="4">
        <v>554</v>
      </c>
      <c r="U100" s="4">
        <v>46.36</v>
      </c>
      <c r="V100" s="4">
        <v>52.94</v>
      </c>
      <c r="W100" s="4">
        <v>-6.58</v>
      </c>
      <c r="X100" s="4">
        <v>-0.98</v>
      </c>
      <c r="Y100" s="4">
        <v>2.5</v>
      </c>
      <c r="Z100" s="4" t="s">
        <v>339</v>
      </c>
      <c r="AA100" s="4" t="s">
        <v>265</v>
      </c>
    </row>
    <row r="101" spans="19:27" x14ac:dyDescent="0.2">
      <c r="S101" s="4" t="s">
        <v>260</v>
      </c>
      <c r="T101" s="4">
        <v>10662</v>
      </c>
      <c r="U101" s="4">
        <v>45.44</v>
      </c>
      <c r="V101" s="4">
        <v>51.79</v>
      </c>
      <c r="W101" s="4">
        <v>-6.35</v>
      </c>
      <c r="X101" s="4">
        <v>-1.9</v>
      </c>
      <c r="Y101" s="4">
        <v>1.35</v>
      </c>
      <c r="Z101" s="4" t="s">
        <v>339</v>
      </c>
      <c r="AA101" s="4" t="s">
        <v>265</v>
      </c>
    </row>
    <row r="102" spans="19:27" x14ac:dyDescent="0.2">
      <c r="S102" s="4" t="s">
        <v>342</v>
      </c>
      <c r="T102" s="4">
        <v>5868</v>
      </c>
      <c r="U102" s="4">
        <v>45.89</v>
      </c>
      <c r="V102" s="4">
        <v>50.63</v>
      </c>
      <c r="W102" s="4">
        <v>-4.74</v>
      </c>
      <c r="X102" s="4">
        <v>-1.45</v>
      </c>
      <c r="Y102" s="4">
        <v>0.19</v>
      </c>
      <c r="Z102" s="4" t="s">
        <v>339</v>
      </c>
      <c r="AA102" s="4" t="s">
        <v>265</v>
      </c>
    </row>
    <row r="103" spans="19:27" x14ac:dyDescent="0.2">
      <c r="S103" s="4" t="s">
        <v>343</v>
      </c>
      <c r="T103" s="4">
        <v>1128</v>
      </c>
      <c r="U103" s="4">
        <v>44.15</v>
      </c>
      <c r="V103" s="4">
        <v>52</v>
      </c>
      <c r="W103" s="4">
        <v>-7.85</v>
      </c>
      <c r="X103" s="4">
        <v>-3.19</v>
      </c>
      <c r="Y103" s="4">
        <v>1.56</v>
      </c>
      <c r="Z103" s="4" t="s">
        <v>339</v>
      </c>
      <c r="AA103" s="4" t="s">
        <v>265</v>
      </c>
    </row>
    <row r="104" spans="19:27" x14ac:dyDescent="0.2">
      <c r="S104" s="4" t="s">
        <v>344</v>
      </c>
      <c r="T104" s="4">
        <v>898</v>
      </c>
      <c r="U104" s="4">
        <v>47.13</v>
      </c>
      <c r="V104" s="4">
        <v>53.13</v>
      </c>
      <c r="W104" s="4">
        <v>-6</v>
      </c>
      <c r="X104" s="4">
        <v>-0.21</v>
      </c>
      <c r="Y104" s="4">
        <v>2.69</v>
      </c>
      <c r="Z104" s="4" t="s">
        <v>339</v>
      </c>
      <c r="AA104" s="4" t="s">
        <v>265</v>
      </c>
    </row>
    <row r="105" spans="19:27" x14ac:dyDescent="0.2">
      <c r="S105" s="4" t="s">
        <v>147</v>
      </c>
      <c r="T105" s="4">
        <v>3586</v>
      </c>
      <c r="U105" s="4">
        <v>47.32</v>
      </c>
      <c r="V105" s="4">
        <v>50.53</v>
      </c>
      <c r="W105" s="4">
        <v>-3.21</v>
      </c>
      <c r="X105" s="4">
        <v>-0.02</v>
      </c>
      <c r="Y105" s="4">
        <v>0.09</v>
      </c>
      <c r="Z105" s="4" t="s">
        <v>339</v>
      </c>
      <c r="AA105" s="4" t="s">
        <v>265</v>
      </c>
    </row>
    <row r="106" spans="19:27" x14ac:dyDescent="0.2">
      <c r="S106" s="4" t="s">
        <v>249</v>
      </c>
      <c r="T106" s="4">
        <v>29051</v>
      </c>
      <c r="U106" s="4">
        <v>43.13</v>
      </c>
      <c r="V106" s="4">
        <v>50.62</v>
      </c>
      <c r="W106" s="4">
        <v>-7.49</v>
      </c>
      <c r="X106" s="4">
        <v>-4.21</v>
      </c>
      <c r="Y106" s="4">
        <v>0.18</v>
      </c>
      <c r="Z106" s="4" t="s">
        <v>339</v>
      </c>
      <c r="AA106" s="4" t="s">
        <v>265</v>
      </c>
    </row>
    <row r="107" spans="19:27" x14ac:dyDescent="0.2">
      <c r="S107" s="4" t="s">
        <v>345</v>
      </c>
      <c r="T107" s="4">
        <v>1009</v>
      </c>
      <c r="U107" s="4">
        <v>46.59</v>
      </c>
      <c r="V107" s="4">
        <v>52.96</v>
      </c>
      <c r="W107" s="4">
        <v>-6.37</v>
      </c>
      <c r="X107" s="4">
        <v>-0.75</v>
      </c>
      <c r="Y107" s="4">
        <v>2.52</v>
      </c>
      <c r="Z107" s="4" t="s">
        <v>339</v>
      </c>
      <c r="AA107" s="4" t="s">
        <v>265</v>
      </c>
    </row>
    <row r="108" spans="19:27" x14ac:dyDescent="0.2">
      <c r="S108" s="4" t="s">
        <v>346</v>
      </c>
      <c r="T108" s="4">
        <v>1560</v>
      </c>
      <c r="U108" s="4">
        <v>47.17</v>
      </c>
      <c r="V108" s="4">
        <v>52.57</v>
      </c>
      <c r="W108" s="4">
        <v>-5.4</v>
      </c>
      <c r="X108" s="4">
        <v>-0.17</v>
      </c>
      <c r="Y108" s="4">
        <v>2.13</v>
      </c>
      <c r="Z108" s="4" t="s">
        <v>339</v>
      </c>
      <c r="AA108" s="4" t="s">
        <v>265</v>
      </c>
    </row>
    <row r="109" spans="19:27" x14ac:dyDescent="0.2">
      <c r="S109" s="4" t="s">
        <v>347</v>
      </c>
      <c r="T109" s="4">
        <v>1390</v>
      </c>
      <c r="U109" s="4">
        <v>46.84</v>
      </c>
      <c r="V109" s="4">
        <v>51.64</v>
      </c>
      <c r="W109" s="4">
        <v>-4.8</v>
      </c>
      <c r="X109" s="4">
        <v>-0.5</v>
      </c>
      <c r="Y109" s="4">
        <v>1.2</v>
      </c>
      <c r="Z109" s="4" t="s">
        <v>339</v>
      </c>
      <c r="AA109" s="4" t="s">
        <v>265</v>
      </c>
    </row>
    <row r="110" spans="19:27" x14ac:dyDescent="0.2">
      <c r="S110" s="4" t="s">
        <v>348</v>
      </c>
      <c r="T110" s="4">
        <v>3807</v>
      </c>
      <c r="U110" s="4">
        <v>46.08</v>
      </c>
      <c r="V110" s="4">
        <v>51.99</v>
      </c>
      <c r="W110" s="4">
        <v>-5.91</v>
      </c>
      <c r="X110" s="4">
        <v>-1.26</v>
      </c>
      <c r="Y110" s="4">
        <v>1.55</v>
      </c>
      <c r="Z110" s="4" t="s">
        <v>339</v>
      </c>
      <c r="AA110" s="4" t="s">
        <v>265</v>
      </c>
    </row>
    <row r="111" spans="19:27" x14ac:dyDescent="0.2">
      <c r="S111" s="4" t="s">
        <v>349</v>
      </c>
      <c r="T111" s="4">
        <v>541</v>
      </c>
      <c r="U111" s="4">
        <v>44.37</v>
      </c>
      <c r="V111" s="4">
        <v>50.96</v>
      </c>
      <c r="W111" s="4">
        <v>-6.59</v>
      </c>
      <c r="X111" s="4">
        <v>-2.97</v>
      </c>
      <c r="Y111" s="4">
        <v>0.52</v>
      </c>
      <c r="Z111" s="4" t="s">
        <v>339</v>
      </c>
      <c r="AA111" s="4" t="s">
        <v>265</v>
      </c>
    </row>
    <row r="112" spans="19:27" x14ac:dyDescent="0.2">
      <c r="S112" s="4" t="s">
        <v>350</v>
      </c>
      <c r="T112" s="4">
        <v>1083</v>
      </c>
      <c r="U112" s="4">
        <v>46.52</v>
      </c>
      <c r="V112" s="4">
        <v>51.26</v>
      </c>
      <c r="W112" s="4">
        <v>-4.74</v>
      </c>
      <c r="X112" s="4">
        <v>-0.82</v>
      </c>
      <c r="Y112" s="4">
        <v>0.82</v>
      </c>
      <c r="Z112" s="4" t="s">
        <v>339</v>
      </c>
      <c r="AA112" s="4" t="s">
        <v>265</v>
      </c>
    </row>
    <row r="113" spans="19:27" x14ac:dyDescent="0.2">
      <c r="S113" s="4" t="s">
        <v>351</v>
      </c>
      <c r="T113" s="4">
        <v>1730</v>
      </c>
      <c r="U113" s="4">
        <v>45.66</v>
      </c>
      <c r="V113" s="4">
        <v>55.83</v>
      </c>
      <c r="W113" s="4">
        <v>-10.17</v>
      </c>
      <c r="X113" s="4">
        <v>-1.68</v>
      </c>
      <c r="Y113" s="4">
        <v>5.39</v>
      </c>
      <c r="Z113" s="4" t="s">
        <v>339</v>
      </c>
      <c r="AA113" s="4" t="s">
        <v>265</v>
      </c>
    </row>
    <row r="114" spans="19:27" x14ac:dyDescent="0.2">
      <c r="S114" s="4" t="s">
        <v>352</v>
      </c>
      <c r="T114" s="4">
        <v>1895</v>
      </c>
      <c r="U114" s="4">
        <v>44.19</v>
      </c>
      <c r="V114" s="4">
        <v>46.14</v>
      </c>
      <c r="W114" s="4">
        <v>-1.95</v>
      </c>
      <c r="X114" s="4">
        <v>-3.15</v>
      </c>
      <c r="Y114" s="4">
        <v>-4.3</v>
      </c>
      <c r="Z114" s="4" t="s">
        <v>353</v>
      </c>
      <c r="AA114" s="4" t="s">
        <v>265</v>
      </c>
    </row>
    <row r="115" spans="19:27" x14ac:dyDescent="0.2">
      <c r="S115" s="4" t="s">
        <v>354</v>
      </c>
      <c r="T115" s="4">
        <v>3482</v>
      </c>
      <c r="U115" s="4">
        <v>46.64</v>
      </c>
      <c r="V115" s="4">
        <v>47.08</v>
      </c>
      <c r="W115" s="4">
        <v>-0.44</v>
      </c>
      <c r="X115" s="4">
        <v>-0.7</v>
      </c>
      <c r="Y115" s="4">
        <v>-3.36</v>
      </c>
      <c r="Z115" s="4" t="s">
        <v>353</v>
      </c>
      <c r="AA115" s="4" t="s">
        <v>265</v>
      </c>
    </row>
    <row r="116" spans="19:27" x14ac:dyDescent="0.2">
      <c r="S116" s="4" t="s">
        <v>24</v>
      </c>
      <c r="T116" s="4">
        <v>21018</v>
      </c>
      <c r="U116" s="4">
        <v>41.93</v>
      </c>
      <c r="V116" s="4">
        <v>48.75</v>
      </c>
      <c r="W116" s="4">
        <v>-6.82</v>
      </c>
      <c r="X116" s="4">
        <v>-5.41</v>
      </c>
      <c r="Y116" s="4">
        <v>-1.69</v>
      </c>
      <c r="Z116" s="4" t="s">
        <v>353</v>
      </c>
      <c r="AA116" s="4" t="s">
        <v>265</v>
      </c>
    </row>
    <row r="117" spans="19:27" x14ac:dyDescent="0.2">
      <c r="S117" s="4" t="s">
        <v>355</v>
      </c>
      <c r="T117" s="4">
        <v>581</v>
      </c>
      <c r="U117" s="4">
        <v>47.07</v>
      </c>
      <c r="V117" s="4">
        <v>47.99</v>
      </c>
      <c r="W117" s="4">
        <v>-0.92</v>
      </c>
      <c r="X117" s="4">
        <v>-0.27</v>
      </c>
      <c r="Y117" s="4">
        <v>-2.4500000000000002</v>
      </c>
      <c r="Z117" s="4" t="s">
        <v>353</v>
      </c>
      <c r="AA117" s="4" t="s">
        <v>265</v>
      </c>
    </row>
    <row r="118" spans="19:27" x14ac:dyDescent="0.2">
      <c r="S118" s="4" t="s">
        <v>146</v>
      </c>
      <c r="T118" s="4">
        <v>5925</v>
      </c>
      <c r="U118" s="4">
        <v>46.27</v>
      </c>
      <c r="V118" s="4">
        <v>48.62</v>
      </c>
      <c r="W118" s="4">
        <v>-2.35</v>
      </c>
      <c r="X118" s="4">
        <v>-1.07</v>
      </c>
      <c r="Y118" s="4">
        <v>-1.82</v>
      </c>
      <c r="Z118" s="4" t="s">
        <v>353</v>
      </c>
      <c r="AA118" s="4" t="s">
        <v>265</v>
      </c>
    </row>
    <row r="119" spans="19:27" x14ac:dyDescent="0.2">
      <c r="S119" s="4" t="s">
        <v>356</v>
      </c>
      <c r="T119" s="4">
        <v>8452</v>
      </c>
      <c r="U119" s="4">
        <v>44.43</v>
      </c>
      <c r="V119" s="4">
        <v>41.81</v>
      </c>
      <c r="W119" s="4">
        <v>2.62</v>
      </c>
      <c r="X119" s="4">
        <v>-2.91</v>
      </c>
      <c r="Y119" s="4">
        <v>-8.6300000000000008</v>
      </c>
      <c r="Z119" s="4" t="s">
        <v>353</v>
      </c>
      <c r="AA119" s="4" t="s">
        <v>265</v>
      </c>
    </row>
    <row r="120" spans="19:27" x14ac:dyDescent="0.2">
      <c r="S120" s="4" t="s">
        <v>357</v>
      </c>
      <c r="T120" s="4">
        <v>5074</v>
      </c>
      <c r="U120" s="4">
        <v>35.85</v>
      </c>
      <c r="V120" s="4">
        <v>40.19</v>
      </c>
      <c r="W120" s="4">
        <v>-4.34</v>
      </c>
      <c r="X120" s="4">
        <v>-11.49</v>
      </c>
      <c r="Y120" s="4">
        <v>-10.25</v>
      </c>
      <c r="Z120" s="4" t="s">
        <v>353</v>
      </c>
      <c r="AA120" s="4" t="s">
        <v>265</v>
      </c>
    </row>
    <row r="121" spans="19:27" x14ac:dyDescent="0.2">
      <c r="S121" s="4" t="s">
        <v>358</v>
      </c>
      <c r="T121" s="4">
        <v>10818</v>
      </c>
      <c r="U121" s="4">
        <v>44.56</v>
      </c>
      <c r="V121" s="4">
        <v>44.75</v>
      </c>
      <c r="W121" s="4">
        <v>-0.19</v>
      </c>
      <c r="X121" s="4">
        <v>-2.78</v>
      </c>
      <c r="Y121" s="4">
        <v>-5.69</v>
      </c>
      <c r="Z121" s="4" t="s">
        <v>353</v>
      </c>
      <c r="AA121" s="4" t="s">
        <v>265</v>
      </c>
    </row>
    <row r="122" spans="19:27" x14ac:dyDescent="0.2">
      <c r="S122" s="4" t="s">
        <v>359</v>
      </c>
      <c r="T122" s="4">
        <v>711</v>
      </c>
      <c r="U122" s="4">
        <v>45.79</v>
      </c>
      <c r="V122" s="4">
        <v>45.69</v>
      </c>
      <c r="W122" s="4">
        <v>0.1</v>
      </c>
      <c r="X122" s="4">
        <v>-1.55</v>
      </c>
      <c r="Y122" s="4">
        <v>-4.75</v>
      </c>
      <c r="Z122" s="4" t="s">
        <v>353</v>
      </c>
      <c r="AA122" s="4" t="s">
        <v>265</v>
      </c>
    </row>
    <row r="123" spans="19:27" x14ac:dyDescent="0.2">
      <c r="S123" s="4" t="s">
        <v>36</v>
      </c>
      <c r="T123" s="4">
        <v>1633</v>
      </c>
      <c r="U123" s="4">
        <v>37.67</v>
      </c>
      <c r="V123" s="4">
        <v>41</v>
      </c>
      <c r="W123" s="4">
        <v>-3.33</v>
      </c>
      <c r="X123" s="4">
        <v>-9.67</v>
      </c>
      <c r="Y123" s="4">
        <v>-9.44</v>
      </c>
      <c r="Z123" s="4" t="s">
        <v>353</v>
      </c>
      <c r="AA123" s="4" t="s">
        <v>265</v>
      </c>
    </row>
    <row r="124" spans="19:27" x14ac:dyDescent="0.2">
      <c r="S124" s="4" t="s">
        <v>248</v>
      </c>
      <c r="T124" s="4">
        <v>30795</v>
      </c>
      <c r="U124" s="4">
        <v>44.75</v>
      </c>
      <c r="V124" s="4">
        <v>48.61</v>
      </c>
      <c r="W124" s="4">
        <v>-3.86</v>
      </c>
      <c r="X124" s="4">
        <v>-2.59</v>
      </c>
      <c r="Y124" s="4">
        <v>-1.83</v>
      </c>
      <c r="Z124" s="4" t="s">
        <v>353</v>
      </c>
      <c r="AA124" s="4" t="s">
        <v>265</v>
      </c>
    </row>
    <row r="125" spans="19:27" x14ac:dyDescent="0.2">
      <c r="S125" s="4" t="s">
        <v>360</v>
      </c>
      <c r="T125" s="4">
        <v>3480</v>
      </c>
      <c r="U125" s="4">
        <v>46.61</v>
      </c>
      <c r="V125" s="4">
        <v>49.19</v>
      </c>
      <c r="W125" s="4">
        <v>-2.58</v>
      </c>
      <c r="X125" s="4">
        <v>-0.73</v>
      </c>
      <c r="Y125" s="4">
        <v>-1.25</v>
      </c>
      <c r="Z125" s="4" t="s">
        <v>353</v>
      </c>
      <c r="AA125" s="4" t="s">
        <v>265</v>
      </c>
    </row>
    <row r="126" spans="19:27" x14ac:dyDescent="0.2">
      <c r="S126" s="4" t="s">
        <v>361</v>
      </c>
      <c r="T126" s="4">
        <v>6860</v>
      </c>
      <c r="U126" s="4">
        <v>46.53</v>
      </c>
      <c r="V126" s="4">
        <v>45.25</v>
      </c>
      <c r="W126" s="4">
        <v>1.28</v>
      </c>
      <c r="X126" s="4">
        <v>-0.81</v>
      </c>
      <c r="Y126" s="4">
        <v>-5.19</v>
      </c>
      <c r="Z126" s="4" t="s">
        <v>353</v>
      </c>
      <c r="AA126" s="4" t="s">
        <v>265</v>
      </c>
    </row>
    <row r="127" spans="19:27" x14ac:dyDescent="0.2">
      <c r="S127" s="4" t="s">
        <v>362</v>
      </c>
      <c r="T127" s="4">
        <v>1384</v>
      </c>
      <c r="U127" s="4">
        <v>45</v>
      </c>
      <c r="V127" s="4">
        <v>46.84</v>
      </c>
      <c r="W127" s="4">
        <v>-1.84</v>
      </c>
      <c r="X127" s="4">
        <v>-2.34</v>
      </c>
      <c r="Y127" s="4">
        <v>-3.6</v>
      </c>
      <c r="Z127" s="4" t="s">
        <v>353</v>
      </c>
      <c r="AA127" s="4" t="s">
        <v>265</v>
      </c>
    </row>
    <row r="128" spans="19:27" x14ac:dyDescent="0.2">
      <c r="S128" s="4" t="s">
        <v>363</v>
      </c>
      <c r="T128" s="4">
        <v>734</v>
      </c>
      <c r="U128" s="4">
        <v>34.22</v>
      </c>
      <c r="V128" s="4">
        <v>39.18</v>
      </c>
      <c r="W128" s="4">
        <v>-4.96</v>
      </c>
      <c r="X128" s="4">
        <v>-13.12</v>
      </c>
      <c r="Y128" s="4">
        <v>-11.26</v>
      </c>
      <c r="Z128" s="4" t="s">
        <v>353</v>
      </c>
      <c r="AA128" s="4" t="s">
        <v>265</v>
      </c>
    </row>
    <row r="129" spans="19:27" x14ac:dyDescent="0.2">
      <c r="S129" s="4" t="s">
        <v>254</v>
      </c>
      <c r="T129" s="4">
        <v>16396</v>
      </c>
      <c r="U129" s="4">
        <v>45.43</v>
      </c>
      <c r="V129" s="4">
        <v>47.45</v>
      </c>
      <c r="W129" s="4">
        <v>-2.02</v>
      </c>
      <c r="X129" s="4">
        <v>-1.91</v>
      </c>
      <c r="Y129" s="4">
        <v>-2.99</v>
      </c>
      <c r="Z129" s="4" t="s">
        <v>353</v>
      </c>
      <c r="AA129" s="4" t="s">
        <v>265</v>
      </c>
    </row>
    <row r="130" spans="19:27" x14ac:dyDescent="0.2">
      <c r="S130" s="4" t="s">
        <v>364</v>
      </c>
      <c r="T130" s="4">
        <v>6310</v>
      </c>
      <c r="U130" s="4">
        <v>45.81</v>
      </c>
      <c r="V130" s="4">
        <v>47.41</v>
      </c>
      <c r="W130" s="4">
        <v>-1.6</v>
      </c>
      <c r="X130" s="4">
        <v>-1.53</v>
      </c>
      <c r="Y130" s="4">
        <v>-3.03</v>
      </c>
      <c r="Z130" s="4" t="s">
        <v>353</v>
      </c>
      <c r="AA130" s="4" t="s">
        <v>265</v>
      </c>
    </row>
    <row r="131" spans="19:27" x14ac:dyDescent="0.2">
      <c r="S131" s="4" t="s">
        <v>11</v>
      </c>
      <c r="T131" s="4">
        <v>7181</v>
      </c>
      <c r="U131" s="4">
        <v>45.29</v>
      </c>
      <c r="V131" s="4">
        <v>44.33</v>
      </c>
      <c r="W131" s="4">
        <v>0.96</v>
      </c>
      <c r="X131" s="4">
        <v>-2.0499999999999998</v>
      </c>
      <c r="Y131" s="4">
        <v>-6.11</v>
      </c>
      <c r="Z131" s="4" t="s">
        <v>353</v>
      </c>
      <c r="AA131" s="4" t="s">
        <v>265</v>
      </c>
    </row>
    <row r="132" spans="19:27" x14ac:dyDescent="0.2">
      <c r="S132" s="4" t="s">
        <v>18</v>
      </c>
      <c r="T132" s="4">
        <v>5994</v>
      </c>
      <c r="U132" s="4">
        <v>45.81</v>
      </c>
      <c r="V132" s="4">
        <v>46.67</v>
      </c>
      <c r="W132" s="4">
        <v>-0.86</v>
      </c>
      <c r="X132" s="4">
        <v>-1.53</v>
      </c>
      <c r="Y132" s="4">
        <v>-3.77</v>
      </c>
      <c r="Z132" s="4" t="s">
        <v>353</v>
      </c>
      <c r="AA132" s="4" t="s">
        <v>265</v>
      </c>
    </row>
    <row r="133" spans="19:27" x14ac:dyDescent="0.2">
      <c r="S133" s="4" t="s">
        <v>14</v>
      </c>
      <c r="T133" s="4">
        <v>1031</v>
      </c>
      <c r="U133" s="4">
        <v>37.47</v>
      </c>
      <c r="V133" s="4">
        <v>41.12</v>
      </c>
      <c r="W133" s="4">
        <v>-3.65</v>
      </c>
      <c r="X133" s="4">
        <v>-9.8699999999999992</v>
      </c>
      <c r="Y133" s="4">
        <v>-9.32</v>
      </c>
      <c r="Z133" s="4" t="s">
        <v>353</v>
      </c>
      <c r="AA133" s="4" t="s">
        <v>265</v>
      </c>
    </row>
    <row r="134" spans="19:27" x14ac:dyDescent="0.2">
      <c r="S134" s="4" t="s">
        <v>365</v>
      </c>
      <c r="T134" s="4">
        <v>1039</v>
      </c>
      <c r="U134" s="4">
        <v>45.54</v>
      </c>
      <c r="V134" s="4">
        <v>46.68</v>
      </c>
      <c r="W134" s="4">
        <v>-1.1399999999999999</v>
      </c>
      <c r="X134" s="4">
        <v>-1.8</v>
      </c>
      <c r="Y134" s="4">
        <v>-3.76</v>
      </c>
      <c r="Z134" s="4" t="s">
        <v>353</v>
      </c>
      <c r="AA134" s="4" t="s">
        <v>265</v>
      </c>
    </row>
    <row r="135" spans="19:27" x14ac:dyDescent="0.2">
      <c r="S135" s="4" t="s">
        <v>34</v>
      </c>
      <c r="T135" s="4">
        <v>21833</v>
      </c>
      <c r="U135" s="4">
        <v>44.5</v>
      </c>
      <c r="V135" s="4">
        <v>49.24</v>
      </c>
      <c r="W135" s="4">
        <v>-4.74</v>
      </c>
      <c r="X135" s="4">
        <v>-2.84</v>
      </c>
      <c r="Y135" s="4">
        <v>-1.2</v>
      </c>
      <c r="Z135" s="4" t="s">
        <v>353</v>
      </c>
      <c r="AA135" s="4" t="s">
        <v>265</v>
      </c>
    </row>
    <row r="136" spans="19:27" x14ac:dyDescent="0.2">
      <c r="S136" s="4" t="s">
        <v>366</v>
      </c>
      <c r="T136" s="4">
        <v>9170</v>
      </c>
      <c r="U136" s="4">
        <v>45.81</v>
      </c>
      <c r="V136" s="4">
        <v>48.09</v>
      </c>
      <c r="W136" s="4">
        <v>-2.2799999999999998</v>
      </c>
      <c r="X136" s="4">
        <v>-1.53</v>
      </c>
      <c r="Y136" s="4">
        <v>-2.35</v>
      </c>
      <c r="Z136" s="4" t="s">
        <v>353</v>
      </c>
      <c r="AA136" s="4" t="s">
        <v>265</v>
      </c>
    </row>
    <row r="137" spans="19:27" x14ac:dyDescent="0.2">
      <c r="S137" s="4" t="s">
        <v>367</v>
      </c>
      <c r="T137" s="4">
        <v>2142</v>
      </c>
      <c r="U137" s="4">
        <v>47.06</v>
      </c>
      <c r="V137" s="4">
        <v>50.05</v>
      </c>
      <c r="W137" s="4">
        <v>-2.99</v>
      </c>
      <c r="X137" s="4">
        <v>-0.28000000000000003</v>
      </c>
      <c r="Y137" s="4">
        <v>-0.39</v>
      </c>
      <c r="Z137" s="4" t="s">
        <v>353</v>
      </c>
      <c r="AA137" s="4" t="s">
        <v>265</v>
      </c>
    </row>
    <row r="138" spans="19:27" x14ac:dyDescent="0.2">
      <c r="S138" s="4" t="s">
        <v>368</v>
      </c>
      <c r="T138" s="4">
        <v>657</v>
      </c>
      <c r="U138" s="4">
        <v>44.4</v>
      </c>
      <c r="V138" s="4">
        <v>46.17</v>
      </c>
      <c r="W138" s="4">
        <v>-1.77</v>
      </c>
      <c r="X138" s="4">
        <v>-2.94</v>
      </c>
      <c r="Y138" s="4">
        <v>-4.2699999999999996</v>
      </c>
      <c r="Z138" s="4" t="s">
        <v>353</v>
      </c>
      <c r="AA138" s="4" t="s">
        <v>265</v>
      </c>
    </row>
    <row r="139" spans="19:27" x14ac:dyDescent="0.2">
      <c r="S139" s="4" t="s">
        <v>37</v>
      </c>
      <c r="T139" s="4">
        <v>15186</v>
      </c>
      <c r="U139" s="4">
        <v>42.93</v>
      </c>
      <c r="V139" s="4">
        <v>48.52</v>
      </c>
      <c r="W139" s="4">
        <v>-5.59</v>
      </c>
      <c r="X139" s="4">
        <v>-4.41</v>
      </c>
      <c r="Y139" s="4">
        <v>-1.92</v>
      </c>
      <c r="Z139" s="4" t="s">
        <v>353</v>
      </c>
      <c r="AA139" s="4" t="s">
        <v>265</v>
      </c>
    </row>
    <row r="140" spans="19:27" x14ac:dyDescent="0.2">
      <c r="S140" s="4" t="s">
        <v>243</v>
      </c>
      <c r="T140" s="4">
        <v>82083</v>
      </c>
      <c r="U140" s="4">
        <v>45.15</v>
      </c>
      <c r="V140" s="4">
        <v>48.57</v>
      </c>
      <c r="W140" s="4">
        <v>-3.42</v>
      </c>
      <c r="X140" s="4">
        <v>-2.19</v>
      </c>
      <c r="Y140" s="4">
        <v>-1.87</v>
      </c>
      <c r="Z140" s="4" t="s">
        <v>353</v>
      </c>
      <c r="AA140" s="4" t="s">
        <v>265</v>
      </c>
    </row>
    <row r="141" spans="19:27" x14ac:dyDescent="0.2">
      <c r="S141" s="4" t="s">
        <v>369</v>
      </c>
      <c r="T141" s="4">
        <v>10049</v>
      </c>
      <c r="U141" s="4">
        <v>41.9</v>
      </c>
      <c r="V141" s="4">
        <v>43.35</v>
      </c>
      <c r="W141" s="4">
        <v>-1.45</v>
      </c>
      <c r="X141" s="4">
        <v>-5.44</v>
      </c>
      <c r="Y141" s="4">
        <v>-7.09</v>
      </c>
      <c r="Z141" s="4" t="s">
        <v>353</v>
      </c>
      <c r="AA141" s="4" t="s">
        <v>265</v>
      </c>
    </row>
    <row r="142" spans="19:27" x14ac:dyDescent="0.2">
      <c r="S142" s="4" t="s">
        <v>370</v>
      </c>
      <c r="T142" s="4">
        <v>3231</v>
      </c>
      <c r="U142" s="4">
        <v>46.06</v>
      </c>
      <c r="V142" s="4">
        <v>48.86</v>
      </c>
      <c r="W142" s="4">
        <v>-2.8</v>
      </c>
      <c r="X142" s="4">
        <v>-1.28</v>
      </c>
      <c r="Y142" s="4">
        <v>-1.58</v>
      </c>
      <c r="Z142" s="4" t="s">
        <v>353</v>
      </c>
      <c r="AA142" s="4" t="s">
        <v>265</v>
      </c>
    </row>
    <row r="143" spans="19:27" x14ac:dyDescent="0.2">
      <c r="S143" s="4" t="s">
        <v>245</v>
      </c>
      <c r="T143" s="4">
        <v>44194</v>
      </c>
      <c r="U143" s="4">
        <v>45.01</v>
      </c>
      <c r="V143" s="4">
        <v>47.73</v>
      </c>
      <c r="W143" s="4">
        <v>-2.72</v>
      </c>
      <c r="X143" s="4">
        <v>-2.33</v>
      </c>
      <c r="Y143" s="4">
        <v>-2.71</v>
      </c>
      <c r="Z143" s="4" t="s">
        <v>353</v>
      </c>
      <c r="AA143" s="4" t="s">
        <v>265</v>
      </c>
    </row>
    <row r="144" spans="19:27" x14ac:dyDescent="0.2">
      <c r="S144" s="4" t="s">
        <v>244</v>
      </c>
      <c r="T144" s="4">
        <v>59224</v>
      </c>
      <c r="U144" s="4">
        <v>45.44</v>
      </c>
      <c r="V144" s="4">
        <v>48</v>
      </c>
      <c r="W144" s="4">
        <v>-2.56</v>
      </c>
      <c r="X144" s="4">
        <v>-1.9</v>
      </c>
      <c r="Y144" s="4">
        <v>-2.44</v>
      </c>
      <c r="Z144" s="4" t="s">
        <v>353</v>
      </c>
      <c r="AA144" s="4" t="s">
        <v>265</v>
      </c>
    </row>
    <row r="145" spans="19:27" x14ac:dyDescent="0.2">
      <c r="S145" s="4" t="s">
        <v>256</v>
      </c>
      <c r="T145" s="4">
        <v>15326</v>
      </c>
      <c r="U145" s="4">
        <v>46.56</v>
      </c>
      <c r="V145" s="4">
        <v>47.65</v>
      </c>
      <c r="W145" s="4">
        <v>-1.0900000000000001</v>
      </c>
      <c r="X145" s="4">
        <v>-0.78</v>
      </c>
      <c r="Y145" s="4">
        <v>-2.79</v>
      </c>
      <c r="Z145" s="4" t="s">
        <v>353</v>
      </c>
      <c r="AA145" s="4" t="s">
        <v>265</v>
      </c>
    </row>
    <row r="146" spans="19:27" x14ac:dyDescent="0.2">
      <c r="S146" s="4" t="s">
        <v>143</v>
      </c>
      <c r="T146" s="4">
        <v>10034</v>
      </c>
      <c r="U146" s="4">
        <v>46.95</v>
      </c>
      <c r="V146" s="4">
        <v>49.26</v>
      </c>
      <c r="W146" s="4">
        <v>-2.31</v>
      </c>
      <c r="X146" s="4">
        <v>-0.39</v>
      </c>
      <c r="Y146" s="4">
        <v>-1.18</v>
      </c>
      <c r="Z146" s="4" t="s">
        <v>353</v>
      </c>
      <c r="AA146" s="4" t="s">
        <v>265</v>
      </c>
    </row>
    <row r="147" spans="19:27" x14ac:dyDescent="0.2">
      <c r="S147" s="4" t="s">
        <v>12</v>
      </c>
      <c r="T147" s="4">
        <v>2607</v>
      </c>
      <c r="U147" s="4">
        <v>45.4</v>
      </c>
      <c r="V147" s="4">
        <v>44.98</v>
      </c>
      <c r="W147" s="4">
        <v>0.42</v>
      </c>
      <c r="X147" s="4">
        <v>-1.94</v>
      </c>
      <c r="Y147" s="4">
        <v>-5.46</v>
      </c>
      <c r="Z147" s="4" t="s">
        <v>353</v>
      </c>
      <c r="AA147" s="4" t="s">
        <v>265</v>
      </c>
    </row>
    <row r="148" spans="19:27" x14ac:dyDescent="0.2">
      <c r="S148" s="4" t="s">
        <v>371</v>
      </c>
      <c r="T148" s="4">
        <v>1667</v>
      </c>
      <c r="U148" s="4">
        <v>45.1</v>
      </c>
      <c r="V148" s="4">
        <v>47.7</v>
      </c>
      <c r="W148" s="4">
        <v>-2.6</v>
      </c>
      <c r="X148" s="4">
        <v>-2.2400000000000002</v>
      </c>
      <c r="Y148" s="4">
        <v>-2.74</v>
      </c>
      <c r="Z148" s="4" t="s">
        <v>353</v>
      </c>
      <c r="AA148" s="4" t="s">
        <v>265</v>
      </c>
    </row>
    <row r="149" spans="19:27" x14ac:dyDescent="0.2">
      <c r="S149" s="4" t="s">
        <v>372</v>
      </c>
      <c r="T149" s="4">
        <v>615</v>
      </c>
      <c r="U149" s="4">
        <v>43.49</v>
      </c>
      <c r="V149" s="4">
        <v>44.52</v>
      </c>
      <c r="W149" s="4">
        <v>-1.03</v>
      </c>
      <c r="X149" s="4">
        <v>-3.85</v>
      </c>
      <c r="Y149" s="4">
        <v>-5.92</v>
      </c>
      <c r="Z149" s="4" t="s">
        <v>353</v>
      </c>
      <c r="AA149" s="4" t="s">
        <v>265</v>
      </c>
    </row>
    <row r="150" spans="19:27" x14ac:dyDescent="0.2">
      <c r="S150" s="4" t="s">
        <v>253</v>
      </c>
      <c r="T150" s="4">
        <v>16516</v>
      </c>
      <c r="U150" s="4">
        <v>44.15</v>
      </c>
      <c r="V150" s="4">
        <v>45.65</v>
      </c>
      <c r="W150" s="4">
        <v>-1.5</v>
      </c>
      <c r="X150" s="4">
        <v>-3.19</v>
      </c>
      <c r="Y150" s="4">
        <v>-4.79</v>
      </c>
      <c r="Z150" s="4" t="s">
        <v>353</v>
      </c>
      <c r="AA150" s="4" t="s">
        <v>265</v>
      </c>
    </row>
    <row r="151" spans="19:27" x14ac:dyDescent="0.2">
      <c r="S151" s="4" t="s">
        <v>247</v>
      </c>
      <c r="T151" s="4">
        <v>29551</v>
      </c>
      <c r="U151" s="4">
        <v>45.27</v>
      </c>
      <c r="V151" s="4">
        <v>44.8</v>
      </c>
      <c r="W151" s="4">
        <v>0.47</v>
      </c>
      <c r="X151" s="4">
        <v>-2.0699999999999998</v>
      </c>
      <c r="Y151" s="4">
        <v>-5.64</v>
      </c>
      <c r="Z151" s="4" t="s">
        <v>353</v>
      </c>
      <c r="AA151" s="4" t="s">
        <v>265</v>
      </c>
    </row>
    <row r="152" spans="19:27" x14ac:dyDescent="0.2">
      <c r="S152" s="4" t="s">
        <v>10</v>
      </c>
      <c r="T152" s="4">
        <v>16007</v>
      </c>
      <c r="U152" s="4">
        <v>43.69</v>
      </c>
      <c r="V152" s="4">
        <v>46.75</v>
      </c>
      <c r="W152" s="4">
        <v>-3.06</v>
      </c>
      <c r="X152" s="4">
        <v>-3.65</v>
      </c>
      <c r="Y152" s="4">
        <v>-3.69</v>
      </c>
      <c r="Z152" s="4" t="s">
        <v>353</v>
      </c>
      <c r="AA152" s="4" t="s">
        <v>265</v>
      </c>
    </row>
    <row r="153" spans="19:27" x14ac:dyDescent="0.2">
      <c r="S153" s="4" t="s">
        <v>373</v>
      </c>
      <c r="T153" s="4">
        <v>6822</v>
      </c>
      <c r="U153" s="4">
        <v>45.24</v>
      </c>
      <c r="V153" s="4">
        <v>47.47</v>
      </c>
      <c r="W153" s="4">
        <v>-2.23</v>
      </c>
      <c r="X153" s="4">
        <v>-2.1</v>
      </c>
      <c r="Y153" s="4">
        <v>-2.97</v>
      </c>
      <c r="Z153" s="4" t="s">
        <v>353</v>
      </c>
      <c r="AA153" s="4" t="s">
        <v>265</v>
      </c>
    </row>
    <row r="154" spans="19:27" x14ac:dyDescent="0.2">
      <c r="S154" s="4" t="s">
        <v>374</v>
      </c>
      <c r="T154" s="4">
        <v>889</v>
      </c>
      <c r="U154" s="4">
        <v>46.8</v>
      </c>
      <c r="V154" s="4">
        <v>48.74</v>
      </c>
      <c r="W154" s="4">
        <v>-1.94</v>
      </c>
      <c r="X154" s="4">
        <v>-0.54</v>
      </c>
      <c r="Y154" s="4">
        <v>-1.7</v>
      </c>
      <c r="Z154" s="4" t="s">
        <v>353</v>
      </c>
      <c r="AA154" s="4" t="s">
        <v>265</v>
      </c>
    </row>
    <row r="155" spans="19:27" x14ac:dyDescent="0.2">
      <c r="S155" s="4" t="s">
        <v>375</v>
      </c>
      <c r="T155" s="4">
        <v>1182</v>
      </c>
      <c r="U155" s="4">
        <v>37.04</v>
      </c>
      <c r="V155" s="4">
        <v>42.55</v>
      </c>
      <c r="W155" s="4">
        <v>-5.51</v>
      </c>
      <c r="X155" s="4">
        <v>-10.3</v>
      </c>
      <c r="Y155" s="4">
        <v>-7.89</v>
      </c>
      <c r="Z155" s="4" t="s">
        <v>353</v>
      </c>
      <c r="AA155" s="4" t="s">
        <v>265</v>
      </c>
    </row>
    <row r="156" spans="19:27" x14ac:dyDescent="0.2">
      <c r="S156" s="4" t="s">
        <v>255</v>
      </c>
      <c r="T156" s="4">
        <v>13383</v>
      </c>
      <c r="U156" s="4">
        <v>45.77</v>
      </c>
      <c r="V156" s="4">
        <v>45.87</v>
      </c>
      <c r="W156" s="4">
        <v>-0.1</v>
      </c>
      <c r="X156" s="4">
        <v>-1.57</v>
      </c>
      <c r="Y156" s="4">
        <v>-4.57</v>
      </c>
      <c r="Z156" s="4" t="s">
        <v>353</v>
      </c>
      <c r="AA156" s="4" t="s">
        <v>265</v>
      </c>
    </row>
    <row r="157" spans="19:27" x14ac:dyDescent="0.2">
      <c r="S157" s="4" t="s">
        <v>376</v>
      </c>
      <c r="T157" s="4">
        <v>9617</v>
      </c>
      <c r="U157" s="4">
        <v>47.15</v>
      </c>
      <c r="V157" s="4">
        <v>48.94</v>
      </c>
      <c r="W157" s="4">
        <v>-1.79</v>
      </c>
      <c r="X157" s="4">
        <v>-0.19</v>
      </c>
      <c r="Y157" s="4">
        <v>-1.5</v>
      </c>
      <c r="Z157" s="4" t="s">
        <v>353</v>
      </c>
      <c r="AA157" s="4" t="s">
        <v>265</v>
      </c>
    </row>
    <row r="158" spans="19:27" x14ac:dyDescent="0.2">
      <c r="S158" s="4" t="s">
        <v>19</v>
      </c>
      <c r="T158" s="4">
        <v>31769</v>
      </c>
      <c r="U158" s="4">
        <v>46.85</v>
      </c>
      <c r="V158" s="4">
        <v>46.78</v>
      </c>
      <c r="W158" s="4">
        <v>7.0000000000000007E-2</v>
      </c>
      <c r="X158" s="4">
        <v>-0.49</v>
      </c>
      <c r="Y158" s="4">
        <v>-3.66</v>
      </c>
      <c r="Z158" s="4" t="s">
        <v>353</v>
      </c>
      <c r="AA158" s="4" t="s">
        <v>265</v>
      </c>
    </row>
    <row r="159" spans="19:27" x14ac:dyDescent="0.2">
      <c r="S159" s="4" t="s">
        <v>377</v>
      </c>
      <c r="T159" s="4">
        <v>5856</v>
      </c>
      <c r="U159" s="4">
        <v>45.04</v>
      </c>
      <c r="V159" s="4">
        <v>45.26</v>
      </c>
      <c r="W159" s="4">
        <v>-0.22</v>
      </c>
      <c r="X159" s="4">
        <v>-2.2999999999999998</v>
      </c>
      <c r="Y159" s="4">
        <v>-5.18</v>
      </c>
      <c r="Z159" s="4" t="s">
        <v>353</v>
      </c>
      <c r="AA159" s="4" t="s">
        <v>265</v>
      </c>
    </row>
    <row r="160" spans="19:27" x14ac:dyDescent="0.2">
      <c r="S160" s="4" t="s">
        <v>378</v>
      </c>
      <c r="T160" s="4">
        <v>7026</v>
      </c>
      <c r="U160" s="4">
        <v>46.81</v>
      </c>
      <c r="V160" s="4">
        <v>46.4</v>
      </c>
      <c r="W160" s="4">
        <v>0.41</v>
      </c>
      <c r="X160" s="4">
        <v>-0.53</v>
      </c>
      <c r="Y160" s="4">
        <v>-4.04</v>
      </c>
      <c r="Z160" s="4" t="s">
        <v>353</v>
      </c>
      <c r="AA160" s="4" t="s">
        <v>265</v>
      </c>
    </row>
    <row r="161" spans="19:27" x14ac:dyDescent="0.2">
      <c r="S161" s="4" t="s">
        <v>379</v>
      </c>
      <c r="T161" s="4">
        <v>1273</v>
      </c>
      <c r="U161" s="4">
        <v>45.46</v>
      </c>
      <c r="V161" s="4">
        <v>45.95</v>
      </c>
      <c r="W161" s="4">
        <v>-0.49</v>
      </c>
      <c r="X161" s="4">
        <v>-1.88</v>
      </c>
      <c r="Y161" s="4">
        <v>-4.49</v>
      </c>
      <c r="Z161" s="4" t="s">
        <v>353</v>
      </c>
      <c r="AA161" s="4" t="s">
        <v>265</v>
      </c>
    </row>
    <row r="162" spans="19:27" x14ac:dyDescent="0.2">
      <c r="S162" s="4" t="s">
        <v>380</v>
      </c>
      <c r="T162" s="4">
        <v>4755</v>
      </c>
      <c r="U162" s="4">
        <v>45.62</v>
      </c>
      <c r="V162" s="4">
        <v>45.32</v>
      </c>
      <c r="W162" s="4">
        <v>0.3</v>
      </c>
      <c r="X162" s="4">
        <v>-1.72</v>
      </c>
      <c r="Y162" s="4">
        <v>-5.12</v>
      </c>
      <c r="Z162" s="4" t="s">
        <v>353</v>
      </c>
      <c r="AA162" s="4" t="s">
        <v>265</v>
      </c>
    </row>
    <row r="163" spans="19:27" x14ac:dyDescent="0.2">
      <c r="S163" s="4" t="s">
        <v>16</v>
      </c>
      <c r="T163" s="4">
        <v>1675</v>
      </c>
      <c r="U163" s="4">
        <v>46.73</v>
      </c>
      <c r="V163" s="4">
        <v>49.97</v>
      </c>
      <c r="W163" s="4">
        <v>-3.24</v>
      </c>
      <c r="X163" s="4">
        <v>-0.61</v>
      </c>
      <c r="Y163" s="4">
        <v>-0.47</v>
      </c>
      <c r="Z163" s="4" t="s">
        <v>353</v>
      </c>
      <c r="AA163" s="4" t="s">
        <v>265</v>
      </c>
    </row>
    <row r="164" spans="19:27" x14ac:dyDescent="0.2">
      <c r="S164" s="4" t="s">
        <v>381</v>
      </c>
      <c r="T164" s="4">
        <v>998</v>
      </c>
      <c r="U164" s="4">
        <v>46.85</v>
      </c>
      <c r="V164" s="4">
        <v>47.07</v>
      </c>
      <c r="W164" s="4">
        <v>-0.22</v>
      </c>
      <c r="X164" s="4">
        <v>-0.49</v>
      </c>
      <c r="Y164" s="4">
        <v>-3.37</v>
      </c>
      <c r="Z164" s="4" t="s">
        <v>353</v>
      </c>
      <c r="AA164" s="4" t="s">
        <v>265</v>
      </c>
    </row>
    <row r="165" spans="19:27" x14ac:dyDescent="0.2">
      <c r="S165" s="4" t="s">
        <v>15</v>
      </c>
      <c r="T165" s="4">
        <v>2660</v>
      </c>
      <c r="U165" s="4">
        <v>43.37</v>
      </c>
      <c r="V165" s="4">
        <v>43.58</v>
      </c>
      <c r="W165" s="4">
        <v>-0.21</v>
      </c>
      <c r="X165" s="4">
        <v>-3.97</v>
      </c>
      <c r="Y165" s="4">
        <v>-6.86</v>
      </c>
      <c r="Z165" s="4" t="s">
        <v>353</v>
      </c>
      <c r="AA165" s="4" t="s">
        <v>265</v>
      </c>
    </row>
    <row r="166" spans="19:27" x14ac:dyDescent="0.2">
      <c r="S166" s="4" t="s">
        <v>382</v>
      </c>
      <c r="T166" s="4">
        <v>3104</v>
      </c>
      <c r="U166" s="4">
        <v>44.99</v>
      </c>
      <c r="V166" s="4">
        <v>45.93</v>
      </c>
      <c r="W166" s="4">
        <v>-0.94</v>
      </c>
      <c r="X166" s="4">
        <v>-2.35</v>
      </c>
      <c r="Y166" s="4">
        <v>-4.51</v>
      </c>
      <c r="Z166" s="4" t="s">
        <v>353</v>
      </c>
      <c r="AA166" s="4" t="s">
        <v>265</v>
      </c>
    </row>
  </sheetData>
  <mergeCells count="5">
    <mergeCell ref="B37:G37"/>
    <mergeCell ref="S1:AA1"/>
    <mergeCell ref="AD13:AG13"/>
    <mergeCell ref="AD1:AG1"/>
    <mergeCell ref="A1:H1"/>
  </mergeCells>
  <conditionalFormatting sqref="B39:B54">
    <cfRule type="containsText" dxfId="16" priority="1" operator="containsText" text="CLT">
      <formula>NOT(ISERROR(SEARCH("CLT",B39)))</formula>
    </cfRule>
    <cfRule type="containsText" dxfId="15" priority="2" operator="containsText" text="MCO">
      <formula>NOT(ISERROR(SEARCH("MCO",B39)))</formula>
    </cfRule>
    <cfRule type="containsText" dxfId="14" priority="3" operator="containsText" text="LGA">
      <formula>NOT(ISERROR(SEARCH("LGA",B39)))</formula>
    </cfRule>
    <cfRule type="containsText" dxfId="13" priority="4" operator="containsText" text="DTW">
      <formula>NOT(ISERROR(SEARCH("DTW",B39)))</formula>
    </cfRule>
    <cfRule type="containsText" dxfId="12" priority="5" operator="containsText" text="IAH">
      <formula>NOT(ISERROR(SEARCH("IAH",B39)))</formula>
    </cfRule>
    <cfRule type="containsText" dxfId="11" priority="6" operator="containsText" text="PHX">
      <formula>NOT(ISERROR(SEARCH("PHX",B39)))</formula>
    </cfRule>
    <cfRule type="containsText" dxfId="10" priority="7" operator="containsText" text="LAS">
      <formula>NOT(ISERROR(SEARCH("LAS",B39)))</formula>
    </cfRule>
    <cfRule type="containsText" dxfId="9" priority="8" operator="containsText" text="SFO">
      <formula>NOT(ISERROR(SEARCH("SFO",B39)))</formula>
    </cfRule>
    <cfRule type="containsText" dxfId="8" priority="9" operator="containsText" text="LAX">
      <formula>NOT(ISERROR(SEARCH("LAX",B39)))</formula>
    </cfRule>
    <cfRule type="containsText" dxfId="7" priority="10" operator="containsText" text="EWR">
      <formula>NOT(ISERROR(SEARCH("EWR",B39)))</formula>
    </cfRule>
    <cfRule type="containsText" dxfId="6" priority="11" operator="containsText" text="DEN">
      <formula>NOT(ISERROR(SEARCH("DEN",B39)))</formula>
    </cfRule>
    <cfRule type="containsText" dxfId="5" priority="12" operator="containsText" text="DFW">
      <formula>NOT(ISERROR(SEARCH("DFW",B39)))</formula>
    </cfRule>
    <cfRule type="containsText" dxfId="4" priority="13" operator="containsText" text="ATL">
      <formula>NOT(ISERROR(SEARCH("ATL",B39)))</formula>
    </cfRule>
    <cfRule type="containsText" dxfId="3" priority="14" operator="containsText" text="ORD">
      <formula>NOT(ISERROR(SEARCH("ORD",B39)))</formula>
    </cfRule>
    <cfRule type="containsText" dxfId="2" priority="15" operator="containsText" text="JFK">
      <formula>NOT(ISERROR(SEARCH("JFK",B39)))</formula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BB33-F34B-6940-94DC-C2D66117FB49}">
  <dimension ref="A1:AQ55"/>
  <sheetViews>
    <sheetView topLeftCell="M1" zoomScaleNormal="86" workbookViewId="0">
      <selection activeCell="AO9" sqref="AO9"/>
    </sheetView>
  </sheetViews>
  <sheetFormatPr baseColWidth="10" defaultRowHeight="16" x14ac:dyDescent="0.2"/>
  <cols>
    <col min="1" max="1" width="17.6640625" bestFit="1" customWidth="1"/>
    <col min="2" max="2" width="10.6640625" bestFit="1" customWidth="1"/>
    <col min="3" max="3" width="18.83203125" bestFit="1" customWidth="1"/>
    <col min="4" max="4" width="13.1640625" bestFit="1" customWidth="1"/>
    <col min="5" max="5" width="18.83203125" bestFit="1" customWidth="1"/>
    <col min="6" max="6" width="17.5" bestFit="1" customWidth="1"/>
    <col min="7" max="7" width="22.5" bestFit="1" customWidth="1"/>
    <col min="8" max="8" width="15" bestFit="1" customWidth="1"/>
    <col min="9" max="9" width="15.83203125" bestFit="1" customWidth="1"/>
    <col min="10" max="10" width="18" bestFit="1" customWidth="1"/>
    <col min="11" max="11" width="12.6640625" bestFit="1" customWidth="1"/>
    <col min="13" max="13" width="10.83203125" style="27"/>
    <col min="15" max="15" width="14.1640625" bestFit="1" customWidth="1"/>
    <col min="16" max="16" width="15.1640625" bestFit="1" customWidth="1"/>
    <col min="17" max="17" width="16.6640625" bestFit="1" customWidth="1"/>
    <col min="18" max="18" width="13.5" bestFit="1" customWidth="1"/>
    <col min="19" max="19" width="15" bestFit="1" customWidth="1"/>
    <col min="20" max="20" width="16.33203125" bestFit="1" customWidth="1"/>
    <col min="21" max="21" width="13.5" bestFit="1" customWidth="1"/>
    <col min="22" max="22" width="16.83203125" bestFit="1" customWidth="1"/>
    <col min="23" max="23" width="16.6640625" bestFit="1" customWidth="1"/>
    <col min="24" max="24" width="20" bestFit="1" customWidth="1"/>
    <col min="25" max="25" width="15.33203125" bestFit="1" customWidth="1"/>
    <col min="26" max="26" width="13.1640625" bestFit="1" customWidth="1"/>
    <col min="28" max="28" width="10.83203125" style="27"/>
    <col min="37" max="37" width="10.83203125" style="27"/>
    <col min="39" max="39" width="8.1640625" bestFit="1" customWidth="1"/>
    <col min="40" max="40" width="12" bestFit="1" customWidth="1"/>
    <col min="41" max="41" width="16.6640625" bestFit="1" customWidth="1"/>
    <col min="42" max="42" width="15.5" bestFit="1" customWidth="1"/>
    <col min="43" max="43" width="8.1640625" bestFit="1" customWidth="1"/>
  </cols>
  <sheetData>
    <row r="1" spans="1:43" ht="19" x14ac:dyDescent="0.25">
      <c r="A1" s="33" t="s">
        <v>383</v>
      </c>
      <c r="B1" s="33"/>
      <c r="C1" s="33"/>
      <c r="D1" s="33"/>
      <c r="E1" s="33"/>
      <c r="F1" s="33"/>
      <c r="G1" s="33"/>
      <c r="H1" s="33"/>
      <c r="I1" s="33"/>
      <c r="O1" s="33" t="s">
        <v>392</v>
      </c>
      <c r="P1" s="33"/>
      <c r="Q1" s="33"/>
      <c r="R1" s="33"/>
      <c r="S1" s="33"/>
      <c r="T1" s="33"/>
      <c r="U1" s="33"/>
      <c r="V1" s="33"/>
      <c r="W1" s="33"/>
      <c r="X1" s="33"/>
      <c r="AD1" s="47" t="s">
        <v>474</v>
      </c>
      <c r="AE1" s="47"/>
      <c r="AF1" s="47"/>
      <c r="AG1" s="47"/>
      <c r="AH1" s="49"/>
      <c r="AI1" s="49"/>
      <c r="AJ1" s="49"/>
      <c r="AK1" s="50"/>
      <c r="AL1" s="2"/>
      <c r="AM1" s="47" t="s">
        <v>480</v>
      </c>
      <c r="AN1" s="47"/>
      <c r="AO1" s="47"/>
      <c r="AP1" s="47"/>
      <c r="AQ1" s="47"/>
    </row>
    <row r="3" spans="1:43" ht="19" x14ac:dyDescent="0.25">
      <c r="A3" s="5" t="s">
        <v>436</v>
      </c>
      <c r="B3" s="5" t="s">
        <v>473</v>
      </c>
      <c r="C3" s="5" t="s">
        <v>437</v>
      </c>
      <c r="D3" s="5" t="s">
        <v>179</v>
      </c>
      <c r="E3" s="5" t="s">
        <v>438</v>
      </c>
      <c r="F3" s="5" t="s">
        <v>439</v>
      </c>
      <c r="G3" s="5" t="s">
        <v>440</v>
      </c>
      <c r="H3" s="5" t="s">
        <v>435</v>
      </c>
      <c r="I3" s="5" t="s">
        <v>434</v>
      </c>
      <c r="J3" s="5" t="s">
        <v>441</v>
      </c>
      <c r="K3" s="5" t="s">
        <v>442</v>
      </c>
      <c r="O3" s="5" t="s">
        <v>393</v>
      </c>
      <c r="P3" s="5" t="s">
        <v>443</v>
      </c>
      <c r="Q3" s="5" t="s">
        <v>444</v>
      </c>
      <c r="R3" s="5" t="s">
        <v>179</v>
      </c>
      <c r="S3" s="5" t="s">
        <v>435</v>
      </c>
      <c r="T3" s="5" t="s">
        <v>445</v>
      </c>
      <c r="U3" s="5" t="s">
        <v>446</v>
      </c>
      <c r="V3" s="5" t="s">
        <v>447</v>
      </c>
      <c r="W3" s="5" t="s">
        <v>448</v>
      </c>
      <c r="X3" s="5" t="s">
        <v>449</v>
      </c>
      <c r="Y3" s="5" t="s">
        <v>450</v>
      </c>
      <c r="Z3" s="5" t="s">
        <v>219</v>
      </c>
      <c r="AD3" s="10" t="s">
        <v>475</v>
      </c>
      <c r="AE3" s="10"/>
      <c r="AF3" s="10"/>
      <c r="AG3" s="48">
        <f>AVERAGEIFS($I$4:$I$27,$C$4:$C$27,"Peak Hours")</f>
        <v>48.97</v>
      </c>
      <c r="AM3" s="53" t="s">
        <v>444</v>
      </c>
      <c r="AN3" s="53" t="s">
        <v>481</v>
      </c>
      <c r="AO3" s="53" t="s">
        <v>491</v>
      </c>
      <c r="AP3" s="53" t="s">
        <v>220</v>
      </c>
      <c r="AQ3" s="53" t="s">
        <v>482</v>
      </c>
    </row>
    <row r="4" spans="1:43" x14ac:dyDescent="0.2">
      <c r="A4" s="4">
        <v>1</v>
      </c>
      <c r="B4" s="4">
        <v>3</v>
      </c>
      <c r="C4" s="4" t="s">
        <v>384</v>
      </c>
      <c r="D4" s="4">
        <v>92</v>
      </c>
      <c r="E4" s="4">
        <v>36.96</v>
      </c>
      <c r="F4" s="4">
        <v>27.17</v>
      </c>
      <c r="G4" s="4">
        <v>35.869999999999997</v>
      </c>
      <c r="H4" s="4">
        <v>53.89</v>
      </c>
      <c r="I4" s="4">
        <v>58.2</v>
      </c>
      <c r="J4" s="4">
        <v>-1</v>
      </c>
      <c r="K4" s="4" t="s">
        <v>385</v>
      </c>
      <c r="O4" s="4">
        <v>1</v>
      </c>
      <c r="P4" s="4" t="s">
        <v>394</v>
      </c>
      <c r="Q4" s="4" t="s">
        <v>395</v>
      </c>
      <c r="R4" s="4">
        <v>111618</v>
      </c>
      <c r="S4" s="4">
        <v>50.52</v>
      </c>
      <c r="T4" s="4">
        <v>50.52</v>
      </c>
      <c r="U4" s="4" t="s">
        <v>265</v>
      </c>
      <c r="V4" s="4" t="s">
        <v>396</v>
      </c>
      <c r="W4" s="4">
        <v>50.52</v>
      </c>
      <c r="X4" s="4">
        <v>0</v>
      </c>
      <c r="Y4" s="4" t="s">
        <v>397</v>
      </c>
      <c r="Z4" s="4">
        <v>29.81</v>
      </c>
      <c r="AD4" s="10" t="s">
        <v>476</v>
      </c>
      <c r="AE4" s="10"/>
      <c r="AF4" s="10"/>
      <c r="AG4" s="48">
        <f>AVERAGEIFS($H$4:$H$27,$C$4:$C$27,"Early Morning")</f>
        <v>47.97</v>
      </c>
      <c r="AM4" s="4" t="s">
        <v>395</v>
      </c>
      <c r="AN4" s="4" t="s">
        <v>483</v>
      </c>
      <c r="AO4" s="57">
        <f>AVERAGEIFS($S$4:$S$15,$Q$4:$Q$15,"Winter")</f>
        <v>51.70333333333334</v>
      </c>
      <c r="AP4" s="57">
        <f>AVERAGEIFS($Z$4:$Z$15,$Q$4:$Q$15,"Winter")</f>
        <v>31.223333333333333</v>
      </c>
      <c r="AQ4" s="24" t="s">
        <v>487</v>
      </c>
    </row>
    <row r="5" spans="1:43" x14ac:dyDescent="0.2">
      <c r="A5" s="4">
        <v>2</v>
      </c>
      <c r="B5" s="4">
        <v>17</v>
      </c>
      <c r="C5" s="4" t="s">
        <v>386</v>
      </c>
      <c r="D5" s="4">
        <v>100687</v>
      </c>
      <c r="E5" s="4">
        <v>33.57</v>
      </c>
      <c r="F5" s="4">
        <v>32.83</v>
      </c>
      <c r="G5" s="4">
        <v>33.6</v>
      </c>
      <c r="H5" s="4">
        <v>53.4</v>
      </c>
      <c r="I5" s="4">
        <v>50.25</v>
      </c>
      <c r="J5" s="4">
        <v>-1</v>
      </c>
      <c r="K5" s="4" t="s">
        <v>385</v>
      </c>
      <c r="O5" s="4">
        <v>2</v>
      </c>
      <c r="P5" s="4" t="s">
        <v>398</v>
      </c>
      <c r="Q5" s="4" t="s">
        <v>395</v>
      </c>
      <c r="R5" s="4">
        <v>119117</v>
      </c>
      <c r="S5" s="4">
        <v>51.67</v>
      </c>
      <c r="T5" s="4">
        <v>51.1</v>
      </c>
      <c r="U5" s="4">
        <v>1.1499999999999999</v>
      </c>
      <c r="V5" s="4" t="s">
        <v>399</v>
      </c>
      <c r="W5" s="4">
        <v>51.1</v>
      </c>
      <c r="X5" s="4">
        <v>0.57999999999999996</v>
      </c>
      <c r="Y5" s="4" t="s">
        <v>397</v>
      </c>
      <c r="Z5" s="4">
        <v>31.28</v>
      </c>
      <c r="AD5" s="10" t="s">
        <v>477</v>
      </c>
      <c r="AE5" s="10"/>
      <c r="AF5" s="10"/>
      <c r="AG5" s="48">
        <f>AVERAGEIFS($H$4:$H$27,$C$4:$C$27,"Evening")</f>
        <v>52.846666666666664</v>
      </c>
      <c r="AM5" s="4" t="s">
        <v>401</v>
      </c>
      <c r="AN5" s="4" t="s">
        <v>484</v>
      </c>
      <c r="AO5" s="57">
        <f>AVERAGEIFS($S$4:$S$15,$Q$4:$Q$15,"Spring")</f>
        <v>48.71</v>
      </c>
      <c r="AP5" s="57">
        <f>AVERAGEIFS($Z$4:$Z$15,$Q$4:$Q$15,"Spring")</f>
        <v>27.813333333333333</v>
      </c>
      <c r="AQ5" s="55" t="s">
        <v>488</v>
      </c>
    </row>
    <row r="6" spans="1:43" x14ac:dyDescent="0.2">
      <c r="A6" s="4">
        <v>3</v>
      </c>
      <c r="B6" s="4">
        <v>18</v>
      </c>
      <c r="C6" s="4" t="s">
        <v>387</v>
      </c>
      <c r="D6" s="4">
        <v>96942</v>
      </c>
      <c r="E6" s="4">
        <v>33.5</v>
      </c>
      <c r="F6" s="4">
        <v>32.29</v>
      </c>
      <c r="G6" s="4">
        <v>34.21</v>
      </c>
      <c r="H6" s="4">
        <v>53.36</v>
      </c>
      <c r="I6" s="4">
        <v>51.02</v>
      </c>
      <c r="J6" s="4">
        <v>-1</v>
      </c>
      <c r="K6" s="4" t="s">
        <v>385</v>
      </c>
      <c r="O6" s="4">
        <v>3</v>
      </c>
      <c r="P6" s="4" t="s">
        <v>400</v>
      </c>
      <c r="Q6" s="4" t="s">
        <v>401</v>
      </c>
      <c r="R6" s="4">
        <v>121653</v>
      </c>
      <c r="S6" s="4">
        <v>49.96</v>
      </c>
      <c r="T6" s="4">
        <v>50.72</v>
      </c>
      <c r="U6" s="4">
        <v>-1.71</v>
      </c>
      <c r="V6" s="4" t="s">
        <v>402</v>
      </c>
      <c r="W6" s="4">
        <v>50.72</v>
      </c>
      <c r="X6" s="4">
        <v>-0.76</v>
      </c>
      <c r="Y6" s="4" t="s">
        <v>397</v>
      </c>
      <c r="Z6" s="4">
        <v>29.4</v>
      </c>
      <c r="AD6" s="10" t="s">
        <v>478</v>
      </c>
      <c r="AE6" s="10"/>
      <c r="AF6" s="10"/>
      <c r="AG6" s="48">
        <f>AVERAGEIFS($H$4:$H$27,$C$4:$C$27,"Mid Morning")</f>
        <v>47.286666666666669</v>
      </c>
      <c r="AM6" s="4" t="s">
        <v>406</v>
      </c>
      <c r="AN6" s="4" t="s">
        <v>485</v>
      </c>
      <c r="AO6" s="57">
        <f>AVERAGEIFS($S$4:$S$15,$Q$4:$Q$15,"Summer")</f>
        <v>51.533333333333331</v>
      </c>
      <c r="AP6" s="57">
        <f>AVERAGEIFS($Z$4:$Z$15,$Q$4:$Q$15,"Summer")</f>
        <v>31.353333333333335</v>
      </c>
      <c r="AQ6" s="56" t="s">
        <v>489</v>
      </c>
    </row>
    <row r="7" spans="1:43" x14ac:dyDescent="0.2">
      <c r="A7" s="4">
        <v>4</v>
      </c>
      <c r="B7" s="4">
        <v>19</v>
      </c>
      <c r="C7" s="4" t="s">
        <v>387</v>
      </c>
      <c r="D7" s="4">
        <v>92516</v>
      </c>
      <c r="E7" s="4">
        <v>33.15</v>
      </c>
      <c r="F7" s="4">
        <v>32.840000000000003</v>
      </c>
      <c r="G7" s="4">
        <v>34.01</v>
      </c>
      <c r="H7" s="4">
        <v>52.91</v>
      </c>
      <c r="I7" s="4">
        <v>51.27</v>
      </c>
      <c r="J7" s="4">
        <v>-1</v>
      </c>
      <c r="K7" s="4" t="s">
        <v>385</v>
      </c>
      <c r="O7" s="4">
        <v>4</v>
      </c>
      <c r="P7" s="4" t="s">
        <v>403</v>
      </c>
      <c r="Q7" s="4" t="s">
        <v>401</v>
      </c>
      <c r="R7" s="4">
        <v>91335</v>
      </c>
      <c r="S7" s="4">
        <v>48.25</v>
      </c>
      <c r="T7" s="4">
        <v>49.96</v>
      </c>
      <c r="U7" s="4">
        <v>-1.71</v>
      </c>
      <c r="V7" s="4" t="s">
        <v>402</v>
      </c>
      <c r="W7" s="4">
        <v>50.1</v>
      </c>
      <c r="X7" s="4">
        <v>-1.85</v>
      </c>
      <c r="Y7" s="4" t="s">
        <v>397</v>
      </c>
      <c r="Z7" s="4">
        <v>27.07</v>
      </c>
      <c r="AM7" s="4" t="s">
        <v>410</v>
      </c>
      <c r="AN7" s="4" t="s">
        <v>486</v>
      </c>
      <c r="AO7" s="57">
        <f>AVERAGEIFS($S$4:$S$15,$Q$4:$Q$15,"Fall")</f>
        <v>48.016666666666673</v>
      </c>
      <c r="AP7" s="57">
        <f>AVERAGEIFS($Z$4:$Z$15,$Q$4:$Q$15,"Fall")</f>
        <v>27.173333333333336</v>
      </c>
      <c r="AQ7" s="54" t="s">
        <v>490</v>
      </c>
    </row>
    <row r="8" spans="1:43" ht="16" customHeight="1" x14ac:dyDescent="0.2">
      <c r="A8" s="4">
        <v>5</v>
      </c>
      <c r="B8" s="4">
        <v>4</v>
      </c>
      <c r="C8" s="4" t="s">
        <v>384</v>
      </c>
      <c r="D8" s="4">
        <v>85</v>
      </c>
      <c r="E8" s="4">
        <v>32.94</v>
      </c>
      <c r="F8" s="4">
        <v>31.76</v>
      </c>
      <c r="G8" s="4">
        <v>35.29</v>
      </c>
      <c r="H8" s="4">
        <v>53.92</v>
      </c>
      <c r="I8" s="4">
        <v>56.91</v>
      </c>
      <c r="J8" s="4">
        <v>4</v>
      </c>
      <c r="K8" s="4" t="s">
        <v>385</v>
      </c>
      <c r="O8" s="4">
        <v>5</v>
      </c>
      <c r="P8" s="4" t="s">
        <v>404</v>
      </c>
      <c r="Q8" s="4" t="s">
        <v>401</v>
      </c>
      <c r="R8" s="4">
        <v>88954</v>
      </c>
      <c r="S8" s="4">
        <v>47.92</v>
      </c>
      <c r="T8" s="4">
        <v>48.71</v>
      </c>
      <c r="U8" s="4">
        <v>-0.33</v>
      </c>
      <c r="V8" s="4" t="s">
        <v>402</v>
      </c>
      <c r="W8" s="4">
        <v>49.66</v>
      </c>
      <c r="X8" s="4">
        <v>-1.74</v>
      </c>
      <c r="Y8" s="4" t="s">
        <v>397</v>
      </c>
      <c r="Z8" s="4">
        <v>26.97</v>
      </c>
      <c r="AD8" s="52" t="s">
        <v>479</v>
      </c>
      <c r="AE8" s="52"/>
      <c r="AF8" s="52"/>
      <c r="AG8" s="52"/>
      <c r="AH8" s="52"/>
      <c r="AI8" s="52"/>
      <c r="AJ8" s="52"/>
    </row>
    <row r="9" spans="1:43" ht="16" customHeight="1" x14ac:dyDescent="0.2">
      <c r="A9" s="4">
        <v>6</v>
      </c>
      <c r="B9" s="4">
        <v>20</v>
      </c>
      <c r="C9" s="4" t="s">
        <v>387</v>
      </c>
      <c r="D9" s="4">
        <v>67587</v>
      </c>
      <c r="E9" s="4">
        <v>32.25</v>
      </c>
      <c r="F9" s="4">
        <v>33.61</v>
      </c>
      <c r="G9" s="4">
        <v>34.14</v>
      </c>
      <c r="H9" s="4">
        <v>52.27</v>
      </c>
      <c r="I9" s="4">
        <v>51.91</v>
      </c>
      <c r="J9" s="4">
        <v>0</v>
      </c>
      <c r="K9" s="4" t="s">
        <v>385</v>
      </c>
      <c r="O9" s="4">
        <v>6</v>
      </c>
      <c r="P9" s="4" t="s">
        <v>405</v>
      </c>
      <c r="Q9" s="4" t="s">
        <v>406</v>
      </c>
      <c r="R9" s="4">
        <v>125270</v>
      </c>
      <c r="S9" s="4">
        <v>52.56</v>
      </c>
      <c r="T9" s="4">
        <v>49.58</v>
      </c>
      <c r="U9" s="4">
        <v>4.6399999999999997</v>
      </c>
      <c r="V9" s="4" t="s">
        <v>399</v>
      </c>
      <c r="W9" s="4">
        <v>50.15</v>
      </c>
      <c r="X9" s="4">
        <v>2.41</v>
      </c>
      <c r="Y9" s="4" t="s">
        <v>397</v>
      </c>
      <c r="Z9" s="4">
        <v>32.58</v>
      </c>
      <c r="AD9" s="51"/>
      <c r="AE9" s="51"/>
      <c r="AF9" s="51"/>
      <c r="AG9" s="51"/>
    </row>
    <row r="10" spans="1:43" ht="16" customHeight="1" x14ac:dyDescent="0.2">
      <c r="A10" s="4">
        <v>7</v>
      </c>
      <c r="B10" s="4">
        <v>16</v>
      </c>
      <c r="C10" s="4" t="s">
        <v>386</v>
      </c>
      <c r="D10" s="4">
        <v>94826</v>
      </c>
      <c r="E10" s="4">
        <v>31.86</v>
      </c>
      <c r="F10" s="4">
        <v>34.450000000000003</v>
      </c>
      <c r="G10" s="4">
        <v>33.69</v>
      </c>
      <c r="H10" s="4">
        <v>52.21</v>
      </c>
      <c r="I10" s="4">
        <v>49.08</v>
      </c>
      <c r="J10" s="4">
        <v>0</v>
      </c>
      <c r="K10" s="4" t="s">
        <v>385</v>
      </c>
      <c r="O10" s="4">
        <v>7</v>
      </c>
      <c r="P10" s="4" t="s">
        <v>407</v>
      </c>
      <c r="Q10" s="4" t="s">
        <v>406</v>
      </c>
      <c r="R10" s="4">
        <v>108046</v>
      </c>
      <c r="S10" s="4">
        <v>51.94</v>
      </c>
      <c r="T10" s="4">
        <v>50.81</v>
      </c>
      <c r="U10" s="4">
        <v>-0.62</v>
      </c>
      <c r="V10" s="4" t="s">
        <v>402</v>
      </c>
      <c r="W10" s="4">
        <v>50.4</v>
      </c>
      <c r="X10" s="4">
        <v>1.54</v>
      </c>
      <c r="Y10" s="4" t="s">
        <v>397</v>
      </c>
      <c r="Z10" s="4">
        <v>31.73</v>
      </c>
      <c r="AD10" s="51"/>
      <c r="AE10" s="51"/>
      <c r="AF10" s="51"/>
      <c r="AG10" s="51"/>
    </row>
    <row r="11" spans="1:43" x14ac:dyDescent="0.2">
      <c r="A11" s="4">
        <v>8</v>
      </c>
      <c r="B11" s="4">
        <v>15</v>
      </c>
      <c r="C11" s="4" t="s">
        <v>386</v>
      </c>
      <c r="D11" s="4">
        <v>84789</v>
      </c>
      <c r="E11" s="4">
        <v>30.36</v>
      </c>
      <c r="F11" s="4">
        <v>35.9</v>
      </c>
      <c r="G11" s="4">
        <v>33.74</v>
      </c>
      <c r="H11" s="4">
        <v>50.77</v>
      </c>
      <c r="I11" s="4">
        <v>47.58</v>
      </c>
      <c r="J11" s="4">
        <v>0</v>
      </c>
      <c r="K11" s="4" t="s">
        <v>385</v>
      </c>
      <c r="O11" s="4">
        <v>8</v>
      </c>
      <c r="P11" s="4" t="s">
        <v>408</v>
      </c>
      <c r="Q11" s="4" t="s">
        <v>406</v>
      </c>
      <c r="R11" s="4">
        <v>92284</v>
      </c>
      <c r="S11" s="4">
        <v>50.1</v>
      </c>
      <c r="T11" s="4">
        <v>51.53</v>
      </c>
      <c r="U11" s="4">
        <v>-1.84</v>
      </c>
      <c r="V11" s="4" t="s">
        <v>402</v>
      </c>
      <c r="W11" s="4">
        <v>50.37</v>
      </c>
      <c r="X11" s="4">
        <v>-0.27</v>
      </c>
      <c r="Y11" s="4" t="s">
        <v>397</v>
      </c>
      <c r="Z11" s="4">
        <v>29.75</v>
      </c>
    </row>
    <row r="12" spans="1:43" x14ac:dyDescent="0.2">
      <c r="A12" s="4">
        <v>9</v>
      </c>
      <c r="B12" s="4">
        <v>21</v>
      </c>
      <c r="C12" s="4" t="s">
        <v>384</v>
      </c>
      <c r="D12" s="4">
        <v>57987</v>
      </c>
      <c r="E12" s="4">
        <v>29.99</v>
      </c>
      <c r="F12" s="4">
        <v>35.450000000000003</v>
      </c>
      <c r="G12" s="4">
        <v>34.56</v>
      </c>
      <c r="H12" s="4">
        <v>50.33</v>
      </c>
      <c r="I12" s="4">
        <v>49.49</v>
      </c>
      <c r="J12" s="4">
        <v>0</v>
      </c>
      <c r="K12" s="4" t="s">
        <v>388</v>
      </c>
      <c r="O12" s="4">
        <v>9</v>
      </c>
      <c r="P12" s="4" t="s">
        <v>409</v>
      </c>
      <c r="Q12" s="4" t="s">
        <v>410</v>
      </c>
      <c r="R12" s="4">
        <v>52595</v>
      </c>
      <c r="S12" s="4">
        <v>48.09</v>
      </c>
      <c r="T12" s="4">
        <v>50.04</v>
      </c>
      <c r="U12" s="4">
        <v>-2.0099999999999998</v>
      </c>
      <c r="V12" s="4" t="s">
        <v>402</v>
      </c>
      <c r="W12" s="4">
        <v>50.11</v>
      </c>
      <c r="X12" s="4">
        <v>-2.02</v>
      </c>
      <c r="Y12" s="4" t="s">
        <v>397</v>
      </c>
      <c r="Z12" s="4">
        <v>27.57</v>
      </c>
    </row>
    <row r="13" spans="1:43" x14ac:dyDescent="0.2">
      <c r="A13" s="4">
        <v>10</v>
      </c>
      <c r="B13" s="4">
        <v>14</v>
      </c>
      <c r="C13" s="4" t="s">
        <v>389</v>
      </c>
      <c r="D13" s="4">
        <v>83303</v>
      </c>
      <c r="E13" s="4">
        <v>29.54</v>
      </c>
      <c r="F13" s="4">
        <v>36.76</v>
      </c>
      <c r="G13" s="4">
        <v>33.69</v>
      </c>
      <c r="H13" s="4">
        <v>50.33</v>
      </c>
      <c r="I13" s="4">
        <v>46.91</v>
      </c>
      <c r="J13" s="4">
        <v>1</v>
      </c>
      <c r="K13" s="4" t="s">
        <v>388</v>
      </c>
      <c r="O13" s="4">
        <v>10</v>
      </c>
      <c r="P13" s="4" t="s">
        <v>411</v>
      </c>
      <c r="Q13" s="4" t="s">
        <v>410</v>
      </c>
      <c r="R13" s="4">
        <v>54223</v>
      </c>
      <c r="S13" s="4">
        <v>45.6</v>
      </c>
      <c r="T13" s="4">
        <v>47.93</v>
      </c>
      <c r="U13" s="4">
        <v>-2.4900000000000002</v>
      </c>
      <c r="V13" s="4" t="s">
        <v>402</v>
      </c>
      <c r="W13" s="4">
        <v>49.66</v>
      </c>
      <c r="X13" s="4">
        <v>-4.0599999999999996</v>
      </c>
      <c r="Y13" s="4" t="s">
        <v>397</v>
      </c>
      <c r="Z13" s="4">
        <v>24.03</v>
      </c>
    </row>
    <row r="14" spans="1:43" x14ac:dyDescent="0.2">
      <c r="A14" s="4">
        <v>11</v>
      </c>
      <c r="B14" s="4">
        <v>22</v>
      </c>
      <c r="C14" s="4" t="s">
        <v>384</v>
      </c>
      <c r="D14" s="4">
        <v>15489</v>
      </c>
      <c r="E14" s="4">
        <v>29.46</v>
      </c>
      <c r="F14" s="4">
        <v>36.369999999999997</v>
      </c>
      <c r="G14" s="4">
        <v>34.17</v>
      </c>
      <c r="H14" s="4">
        <v>49.54</v>
      </c>
      <c r="I14" s="4">
        <v>49.16</v>
      </c>
      <c r="J14" s="4">
        <v>-1</v>
      </c>
      <c r="K14" s="4" t="s">
        <v>388</v>
      </c>
      <c r="O14" s="4">
        <v>11</v>
      </c>
      <c r="P14" s="4" t="s">
        <v>412</v>
      </c>
      <c r="Q14" s="4" t="s">
        <v>410</v>
      </c>
      <c r="R14" s="4">
        <v>59793</v>
      </c>
      <c r="S14" s="4">
        <v>50.36</v>
      </c>
      <c r="T14" s="4">
        <v>48.02</v>
      </c>
      <c r="U14" s="4">
        <v>4.76</v>
      </c>
      <c r="V14" s="4" t="s">
        <v>399</v>
      </c>
      <c r="W14" s="4">
        <v>49.72</v>
      </c>
      <c r="X14" s="4">
        <v>0.64</v>
      </c>
      <c r="Y14" s="4" t="s">
        <v>397</v>
      </c>
      <c r="Z14" s="4">
        <v>29.92</v>
      </c>
    </row>
    <row r="15" spans="1:43" x14ac:dyDescent="0.2">
      <c r="A15" s="4">
        <v>12</v>
      </c>
      <c r="B15" s="4">
        <v>13</v>
      </c>
      <c r="C15" s="4" t="s">
        <v>389</v>
      </c>
      <c r="D15" s="4">
        <v>83262</v>
      </c>
      <c r="E15" s="4">
        <v>28.77</v>
      </c>
      <c r="F15" s="4">
        <v>37.58</v>
      </c>
      <c r="G15" s="4">
        <v>33.65</v>
      </c>
      <c r="H15" s="4">
        <v>49.55</v>
      </c>
      <c r="I15" s="4">
        <v>46.14</v>
      </c>
      <c r="J15" s="4">
        <v>1</v>
      </c>
      <c r="K15" s="4" t="s">
        <v>388</v>
      </c>
      <c r="O15" s="4">
        <v>12</v>
      </c>
      <c r="P15" s="4" t="s">
        <v>413</v>
      </c>
      <c r="Q15" s="4" t="s">
        <v>395</v>
      </c>
      <c r="R15" s="4">
        <v>128158</v>
      </c>
      <c r="S15" s="4">
        <v>52.92</v>
      </c>
      <c r="T15" s="4">
        <v>49.63</v>
      </c>
      <c r="U15" s="4">
        <v>2.56</v>
      </c>
      <c r="V15" s="4" t="s">
        <v>399</v>
      </c>
      <c r="W15" s="4">
        <v>49.99</v>
      </c>
      <c r="X15" s="4">
        <v>2.93</v>
      </c>
      <c r="Y15" s="4" t="s">
        <v>397</v>
      </c>
      <c r="Z15" s="4">
        <v>32.58</v>
      </c>
    </row>
    <row r="16" spans="1:43" x14ac:dyDescent="0.2">
      <c r="A16" s="4">
        <v>13</v>
      </c>
      <c r="B16" s="4">
        <v>23</v>
      </c>
      <c r="C16" s="4" t="s">
        <v>384</v>
      </c>
      <c r="D16" s="4">
        <v>5784</v>
      </c>
      <c r="E16" s="4">
        <v>27.85</v>
      </c>
      <c r="F16" s="4">
        <v>37.29</v>
      </c>
      <c r="G16" s="4">
        <v>34.85</v>
      </c>
      <c r="H16" s="4">
        <v>48.54</v>
      </c>
      <c r="I16" s="4">
        <v>50.91</v>
      </c>
      <c r="J16" s="4">
        <v>-2</v>
      </c>
      <c r="K16" s="4" t="s">
        <v>388</v>
      </c>
    </row>
    <row r="17" spans="1:17" x14ac:dyDescent="0.2">
      <c r="A17" s="4">
        <v>14</v>
      </c>
      <c r="B17" s="4">
        <v>12</v>
      </c>
      <c r="C17" s="4" t="s">
        <v>389</v>
      </c>
      <c r="D17" s="4">
        <v>71212</v>
      </c>
      <c r="E17" s="4">
        <v>27.56</v>
      </c>
      <c r="F17" s="4">
        <v>38.79</v>
      </c>
      <c r="G17" s="4">
        <v>33.659999999999997</v>
      </c>
      <c r="H17" s="4">
        <v>48.55</v>
      </c>
      <c r="I17" s="4">
        <v>45.18</v>
      </c>
      <c r="J17" s="4">
        <v>0</v>
      </c>
      <c r="K17" s="4" t="s">
        <v>388</v>
      </c>
    </row>
    <row r="18" spans="1:17" x14ac:dyDescent="0.2">
      <c r="A18" s="4">
        <v>15</v>
      </c>
      <c r="B18" s="4">
        <v>5</v>
      </c>
      <c r="C18" s="4" t="s">
        <v>390</v>
      </c>
      <c r="D18" s="4">
        <v>2297</v>
      </c>
      <c r="E18" s="4">
        <v>27.51</v>
      </c>
      <c r="F18" s="4">
        <v>41.01</v>
      </c>
      <c r="G18" s="4">
        <v>31.48</v>
      </c>
      <c r="H18" s="4">
        <v>48.02</v>
      </c>
      <c r="I18" s="4">
        <v>41.73</v>
      </c>
      <c r="J18" s="4">
        <v>-2</v>
      </c>
      <c r="K18" s="4" t="s">
        <v>388</v>
      </c>
    </row>
    <row r="19" spans="1:17" ht="19" x14ac:dyDescent="0.25">
      <c r="A19" s="4">
        <v>16</v>
      </c>
      <c r="B19" s="4">
        <v>6</v>
      </c>
      <c r="C19" s="4" t="s">
        <v>390</v>
      </c>
      <c r="D19" s="4">
        <v>26129</v>
      </c>
      <c r="E19" s="4">
        <v>27.34</v>
      </c>
      <c r="F19" s="4">
        <v>40.200000000000003</v>
      </c>
      <c r="G19" s="4">
        <v>32.46</v>
      </c>
      <c r="H19" s="4">
        <v>48.57</v>
      </c>
      <c r="I19" s="4">
        <v>42.33</v>
      </c>
      <c r="J19" s="4">
        <v>3</v>
      </c>
      <c r="K19" s="4" t="s">
        <v>388</v>
      </c>
      <c r="O19" s="5" t="s">
        <v>443</v>
      </c>
      <c r="P19" s="5" t="s">
        <v>435</v>
      </c>
      <c r="Q19" s="5" t="s">
        <v>445</v>
      </c>
    </row>
    <row r="20" spans="1:17" x14ac:dyDescent="0.2">
      <c r="A20" s="4">
        <v>17</v>
      </c>
      <c r="B20" s="4">
        <v>7</v>
      </c>
      <c r="C20" s="4" t="s">
        <v>390</v>
      </c>
      <c r="D20" s="4">
        <v>34198</v>
      </c>
      <c r="E20" s="4">
        <v>27.02</v>
      </c>
      <c r="F20" s="4">
        <v>39.06</v>
      </c>
      <c r="G20" s="4">
        <v>33.92</v>
      </c>
      <c r="H20" s="4">
        <v>48.29</v>
      </c>
      <c r="I20" s="4">
        <v>42.42</v>
      </c>
      <c r="J20" s="4">
        <v>1</v>
      </c>
      <c r="K20" s="4" t="s">
        <v>388</v>
      </c>
      <c r="O20" s="4" t="s">
        <v>394</v>
      </c>
      <c r="P20" s="4">
        <v>50.52</v>
      </c>
      <c r="Q20" s="4">
        <v>50.52</v>
      </c>
    </row>
    <row r="21" spans="1:17" x14ac:dyDescent="0.2">
      <c r="A21" s="4">
        <v>18</v>
      </c>
      <c r="B21" s="4">
        <v>10</v>
      </c>
      <c r="C21" s="4" t="s">
        <v>391</v>
      </c>
      <c r="D21" s="4">
        <v>62389</v>
      </c>
      <c r="E21" s="4">
        <v>26.43</v>
      </c>
      <c r="F21" s="4">
        <v>39.49</v>
      </c>
      <c r="G21" s="4">
        <v>34.08</v>
      </c>
      <c r="H21" s="4">
        <v>47.53</v>
      </c>
      <c r="I21" s="4">
        <v>43.66</v>
      </c>
      <c r="J21" s="4">
        <v>0</v>
      </c>
      <c r="K21" s="4" t="s">
        <v>388</v>
      </c>
      <c r="O21" s="4" t="s">
        <v>398</v>
      </c>
      <c r="P21" s="4">
        <v>51.67</v>
      </c>
      <c r="Q21" s="4">
        <v>51.1</v>
      </c>
    </row>
    <row r="22" spans="1:17" x14ac:dyDescent="0.2">
      <c r="A22" s="4">
        <v>19</v>
      </c>
      <c r="B22" s="4">
        <v>11</v>
      </c>
      <c r="C22" s="4" t="s">
        <v>391</v>
      </c>
      <c r="D22" s="4">
        <v>70313</v>
      </c>
      <c r="E22" s="4">
        <v>26.19</v>
      </c>
      <c r="F22" s="4">
        <v>39.61</v>
      </c>
      <c r="G22" s="4">
        <v>34.200000000000003</v>
      </c>
      <c r="H22" s="4">
        <v>47.4</v>
      </c>
      <c r="I22" s="4">
        <v>43.41</v>
      </c>
      <c r="J22" s="4">
        <v>0</v>
      </c>
      <c r="K22" s="4" t="s">
        <v>388</v>
      </c>
      <c r="O22" s="4" t="s">
        <v>400</v>
      </c>
      <c r="P22" s="4">
        <v>49.96</v>
      </c>
      <c r="Q22" s="4">
        <v>50.72</v>
      </c>
    </row>
    <row r="23" spans="1:17" x14ac:dyDescent="0.2">
      <c r="A23" s="4">
        <v>20</v>
      </c>
      <c r="B23" s="4">
        <v>8</v>
      </c>
      <c r="C23" s="4" t="s">
        <v>390</v>
      </c>
      <c r="D23" s="4">
        <v>46958</v>
      </c>
      <c r="E23" s="4">
        <v>25.63</v>
      </c>
      <c r="F23" s="4">
        <v>40.1</v>
      </c>
      <c r="G23" s="4">
        <v>34.270000000000003</v>
      </c>
      <c r="H23" s="4">
        <v>47</v>
      </c>
      <c r="I23" s="4">
        <v>41.33</v>
      </c>
      <c r="J23" s="4">
        <v>0</v>
      </c>
      <c r="K23" s="4" t="s">
        <v>388</v>
      </c>
      <c r="O23" s="4" t="s">
        <v>403</v>
      </c>
      <c r="P23" s="4">
        <v>48.25</v>
      </c>
      <c r="Q23" s="4">
        <v>49.96</v>
      </c>
    </row>
    <row r="24" spans="1:17" x14ac:dyDescent="0.2">
      <c r="A24" s="4">
        <v>21</v>
      </c>
      <c r="B24" s="4">
        <v>9</v>
      </c>
      <c r="C24" s="4" t="s">
        <v>391</v>
      </c>
      <c r="D24" s="4">
        <v>54760</v>
      </c>
      <c r="E24" s="4">
        <v>25.47</v>
      </c>
      <c r="F24" s="4">
        <v>39.700000000000003</v>
      </c>
      <c r="G24" s="4">
        <v>34.83</v>
      </c>
      <c r="H24" s="4">
        <v>46.93</v>
      </c>
      <c r="I24" s="4">
        <v>42.12</v>
      </c>
      <c r="J24" s="4">
        <v>0</v>
      </c>
      <c r="K24" s="4" t="s">
        <v>388</v>
      </c>
      <c r="O24" s="4" t="s">
        <v>404</v>
      </c>
      <c r="P24" s="4">
        <v>47.92</v>
      </c>
      <c r="Q24" s="4">
        <v>48.71</v>
      </c>
    </row>
    <row r="25" spans="1:17" x14ac:dyDescent="0.2">
      <c r="A25" s="4">
        <v>22</v>
      </c>
      <c r="B25" s="4">
        <v>2</v>
      </c>
      <c r="C25" s="4" t="s">
        <v>384</v>
      </c>
      <c r="D25" s="4">
        <v>71</v>
      </c>
      <c r="E25" s="4">
        <v>23.94</v>
      </c>
      <c r="F25" s="4">
        <v>46.48</v>
      </c>
      <c r="G25" s="4">
        <v>29.58</v>
      </c>
      <c r="H25" s="4">
        <v>45.3</v>
      </c>
      <c r="I25" s="4">
        <v>43.83</v>
      </c>
      <c r="J25" s="4">
        <v>0</v>
      </c>
      <c r="K25" s="4" t="s">
        <v>388</v>
      </c>
      <c r="O25" s="4" t="s">
        <v>405</v>
      </c>
      <c r="P25" s="4">
        <v>52.56</v>
      </c>
      <c r="Q25" s="4">
        <v>49.58</v>
      </c>
    </row>
    <row r="26" spans="1:17" x14ac:dyDescent="0.2">
      <c r="A26" s="4">
        <v>23</v>
      </c>
      <c r="B26" s="4">
        <v>1</v>
      </c>
      <c r="C26" s="4" t="s">
        <v>384</v>
      </c>
      <c r="D26" s="4">
        <v>331</v>
      </c>
      <c r="E26" s="4">
        <v>23.56</v>
      </c>
      <c r="F26" s="4">
        <v>45.32</v>
      </c>
      <c r="G26" s="4">
        <v>31.12</v>
      </c>
      <c r="H26" s="4">
        <v>44.88</v>
      </c>
      <c r="I26" s="4">
        <v>46.2</v>
      </c>
      <c r="J26" s="4">
        <v>0</v>
      </c>
      <c r="K26" s="4" t="s">
        <v>388</v>
      </c>
      <c r="O26" s="4" t="s">
        <v>407</v>
      </c>
      <c r="P26" s="4">
        <v>51.94</v>
      </c>
      <c r="Q26" s="4">
        <v>50.81</v>
      </c>
    </row>
    <row r="27" spans="1:17" x14ac:dyDescent="0.2">
      <c r="A27" s="4">
        <v>24</v>
      </c>
      <c r="B27" s="4">
        <v>0</v>
      </c>
      <c r="C27" s="4" t="s">
        <v>384</v>
      </c>
      <c r="D27" s="4">
        <v>1039</v>
      </c>
      <c r="E27" s="4">
        <v>22.81</v>
      </c>
      <c r="F27" s="4">
        <v>44.66</v>
      </c>
      <c r="G27" s="4">
        <v>32.53</v>
      </c>
      <c r="H27" s="4">
        <v>44.81</v>
      </c>
      <c r="I27" s="4">
        <v>46.27</v>
      </c>
      <c r="J27" s="4">
        <v>0</v>
      </c>
      <c r="K27" s="4" t="s">
        <v>388</v>
      </c>
      <c r="O27" s="4" t="s">
        <v>408</v>
      </c>
      <c r="P27" s="4">
        <v>50.1</v>
      </c>
      <c r="Q27" s="4">
        <v>51.53</v>
      </c>
    </row>
    <row r="28" spans="1:17" x14ac:dyDescent="0.2">
      <c r="O28" s="4" t="s">
        <v>409</v>
      </c>
      <c r="P28" s="4">
        <v>48.09</v>
      </c>
      <c r="Q28" s="4">
        <v>50.04</v>
      </c>
    </row>
    <row r="29" spans="1:17" x14ac:dyDescent="0.2">
      <c r="O29" s="4" t="s">
        <v>411</v>
      </c>
      <c r="P29" s="4">
        <v>45.6</v>
      </c>
      <c r="Q29" s="4">
        <v>47.93</v>
      </c>
    </row>
    <row r="30" spans="1:17" x14ac:dyDescent="0.2">
      <c r="O30" s="4" t="s">
        <v>412</v>
      </c>
      <c r="P30" s="4">
        <v>50.36</v>
      </c>
      <c r="Q30" s="4">
        <v>48.02</v>
      </c>
    </row>
    <row r="31" spans="1:17" ht="19" x14ac:dyDescent="0.25">
      <c r="B31" s="5" t="s">
        <v>473</v>
      </c>
      <c r="C31" s="5" t="s">
        <v>438</v>
      </c>
      <c r="O31" s="4" t="s">
        <v>413</v>
      </c>
      <c r="P31" s="4">
        <v>52.92</v>
      </c>
      <c r="Q31" s="4">
        <v>49.63</v>
      </c>
    </row>
    <row r="32" spans="1:17" x14ac:dyDescent="0.2">
      <c r="B32" s="4">
        <v>0</v>
      </c>
      <c r="C32" s="4">
        <v>22.81</v>
      </c>
    </row>
    <row r="33" spans="2:3" x14ac:dyDescent="0.2">
      <c r="B33" s="4">
        <v>1</v>
      </c>
      <c r="C33" s="4">
        <v>23.56</v>
      </c>
    </row>
    <row r="34" spans="2:3" x14ac:dyDescent="0.2">
      <c r="B34" s="4">
        <v>2</v>
      </c>
      <c r="C34" s="4">
        <v>23.94</v>
      </c>
    </row>
    <row r="35" spans="2:3" x14ac:dyDescent="0.2">
      <c r="B35" s="4">
        <v>3</v>
      </c>
      <c r="C35" s="4">
        <v>36.96</v>
      </c>
    </row>
    <row r="36" spans="2:3" x14ac:dyDescent="0.2">
      <c r="B36" s="4">
        <v>4</v>
      </c>
      <c r="C36" s="4">
        <v>32.94</v>
      </c>
    </row>
    <row r="37" spans="2:3" x14ac:dyDescent="0.2">
      <c r="B37" s="4">
        <v>5</v>
      </c>
      <c r="C37" s="4">
        <v>27.51</v>
      </c>
    </row>
    <row r="38" spans="2:3" x14ac:dyDescent="0.2">
      <c r="B38" s="4">
        <v>6</v>
      </c>
      <c r="C38" s="4">
        <v>27.34</v>
      </c>
    </row>
    <row r="39" spans="2:3" x14ac:dyDescent="0.2">
      <c r="B39" s="4">
        <v>7</v>
      </c>
      <c r="C39" s="4">
        <v>27.02</v>
      </c>
    </row>
    <row r="40" spans="2:3" x14ac:dyDescent="0.2">
      <c r="B40" s="4">
        <v>8</v>
      </c>
      <c r="C40" s="4">
        <v>25.63</v>
      </c>
    </row>
    <row r="41" spans="2:3" x14ac:dyDescent="0.2">
      <c r="B41" s="4">
        <v>9</v>
      </c>
      <c r="C41" s="4">
        <v>25.47</v>
      </c>
    </row>
    <row r="42" spans="2:3" x14ac:dyDescent="0.2">
      <c r="B42" s="4">
        <v>10</v>
      </c>
      <c r="C42" s="4">
        <v>26.43</v>
      </c>
    </row>
    <row r="43" spans="2:3" x14ac:dyDescent="0.2">
      <c r="B43" s="4">
        <v>11</v>
      </c>
      <c r="C43" s="4">
        <v>26.19</v>
      </c>
    </row>
    <row r="44" spans="2:3" x14ac:dyDescent="0.2">
      <c r="B44" s="4">
        <v>12</v>
      </c>
      <c r="C44" s="4">
        <v>27.56</v>
      </c>
    </row>
    <row r="45" spans="2:3" x14ac:dyDescent="0.2">
      <c r="B45" s="4">
        <v>13</v>
      </c>
      <c r="C45" s="4">
        <v>28.77</v>
      </c>
    </row>
    <row r="46" spans="2:3" x14ac:dyDescent="0.2">
      <c r="B46" s="4">
        <v>14</v>
      </c>
      <c r="C46" s="4">
        <v>29.54</v>
      </c>
    </row>
    <row r="47" spans="2:3" x14ac:dyDescent="0.2">
      <c r="B47" s="4">
        <v>15</v>
      </c>
      <c r="C47" s="4">
        <v>30.36</v>
      </c>
    </row>
    <row r="48" spans="2:3" x14ac:dyDescent="0.2">
      <c r="B48" s="4">
        <v>16</v>
      </c>
      <c r="C48" s="4">
        <v>31.86</v>
      </c>
    </row>
    <row r="49" spans="2:3" x14ac:dyDescent="0.2">
      <c r="B49" s="4">
        <v>17</v>
      </c>
      <c r="C49" s="4">
        <v>33.57</v>
      </c>
    </row>
    <row r="50" spans="2:3" x14ac:dyDescent="0.2">
      <c r="B50" s="4">
        <v>18</v>
      </c>
      <c r="C50" s="4">
        <v>33.5</v>
      </c>
    </row>
    <row r="51" spans="2:3" x14ac:dyDescent="0.2">
      <c r="B51" s="4">
        <v>19</v>
      </c>
      <c r="C51" s="4">
        <v>33.15</v>
      </c>
    </row>
    <row r="52" spans="2:3" x14ac:dyDescent="0.2">
      <c r="B52" s="4">
        <v>20</v>
      </c>
      <c r="C52" s="4">
        <v>32.25</v>
      </c>
    </row>
    <row r="53" spans="2:3" x14ac:dyDescent="0.2">
      <c r="B53" s="4">
        <v>21</v>
      </c>
      <c r="C53" s="4">
        <v>29.99</v>
      </c>
    </row>
    <row r="54" spans="2:3" x14ac:dyDescent="0.2">
      <c r="B54" s="4">
        <v>22</v>
      </c>
      <c r="C54" s="4">
        <v>29.46</v>
      </c>
    </row>
    <row r="55" spans="2:3" x14ac:dyDescent="0.2">
      <c r="B55" s="4">
        <v>23</v>
      </c>
      <c r="C55" s="4">
        <v>27.85</v>
      </c>
    </row>
  </sheetData>
  <mergeCells count="9">
    <mergeCell ref="AD6:AF6"/>
    <mergeCell ref="AD1:AG1"/>
    <mergeCell ref="AD8:AJ8"/>
    <mergeCell ref="AM1:AQ1"/>
    <mergeCell ref="A1:I1"/>
    <mergeCell ref="O1:X1"/>
    <mergeCell ref="AD3:AF3"/>
    <mergeCell ref="AD4:AF4"/>
    <mergeCell ref="AD5:AF5"/>
  </mergeCells>
  <conditionalFormatting sqref="AQ1:AQ1048576">
    <cfRule type="containsText" dxfId="0" priority="1" operator="containsText" text="Worst">
      <formula>NOT(ISERROR(SEARCH("Worst",AQ1)))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471C-F026-204E-9F14-837D0784C57F}">
  <dimension ref="A1:AL47"/>
  <sheetViews>
    <sheetView topLeftCell="A2" zoomScale="125" workbookViewId="0">
      <selection activeCell="AD11" sqref="AD11"/>
    </sheetView>
  </sheetViews>
  <sheetFormatPr baseColWidth="10" defaultRowHeight="16" x14ac:dyDescent="0.2"/>
  <cols>
    <col min="1" max="1" width="16" bestFit="1" customWidth="1"/>
    <col min="2" max="2" width="22.83203125" bestFit="1" customWidth="1"/>
    <col min="3" max="3" width="15.1640625" bestFit="1" customWidth="1"/>
    <col min="4" max="4" width="22.83203125" bestFit="1" customWidth="1"/>
    <col min="5" max="5" width="18" bestFit="1" customWidth="1"/>
    <col min="6" max="6" width="22.6640625" bestFit="1" customWidth="1"/>
    <col min="7" max="7" width="20.1640625" bestFit="1" customWidth="1"/>
    <col min="8" max="8" width="19.1640625" bestFit="1" customWidth="1"/>
    <col min="9" max="10" width="15.1640625" bestFit="1" customWidth="1"/>
    <col min="11" max="11" width="14.83203125" bestFit="1" customWidth="1"/>
    <col min="12" max="12" width="16" bestFit="1" customWidth="1"/>
    <col min="13" max="13" width="10.83203125" style="27"/>
    <col min="15" max="15" width="7.6640625" bestFit="1" customWidth="1"/>
    <col min="16" max="16" width="17.83203125" bestFit="1" customWidth="1"/>
    <col min="17" max="17" width="14.5" bestFit="1" customWidth="1"/>
    <col min="18" max="18" width="16" bestFit="1" customWidth="1"/>
    <col min="19" max="19" width="17.83203125" bestFit="1" customWidth="1"/>
    <col min="20" max="20" width="18" bestFit="1" customWidth="1"/>
    <col min="21" max="21" width="20.6640625" bestFit="1" customWidth="1"/>
    <col min="22" max="22" width="21" bestFit="1" customWidth="1"/>
    <col min="23" max="23" width="22.33203125" bestFit="1" customWidth="1"/>
    <col min="25" max="25" width="10.83203125" style="27"/>
    <col min="30" max="30" width="21.6640625" bestFit="1" customWidth="1"/>
    <col min="31" max="31" width="10.83203125" style="27"/>
  </cols>
  <sheetData>
    <row r="1" spans="1:38" ht="19" x14ac:dyDescent="0.25">
      <c r="A1" s="33" t="s">
        <v>414</v>
      </c>
      <c r="B1" s="33"/>
      <c r="C1" s="33"/>
      <c r="D1" s="33"/>
      <c r="E1" s="33"/>
      <c r="F1" s="33"/>
      <c r="G1" s="33"/>
      <c r="H1" s="33"/>
      <c r="I1" s="33"/>
      <c r="O1" s="33" t="s">
        <v>201</v>
      </c>
      <c r="P1" s="33"/>
      <c r="Q1" s="33"/>
      <c r="R1" s="33"/>
      <c r="S1" s="33"/>
      <c r="T1" s="33"/>
      <c r="U1" s="33"/>
      <c r="V1" s="33"/>
      <c r="W1" s="33"/>
      <c r="AA1" s="47" t="s">
        <v>493</v>
      </c>
      <c r="AB1" s="47"/>
      <c r="AC1" s="47"/>
      <c r="AD1" s="47"/>
      <c r="AE1" s="34"/>
      <c r="AG1" s="47" t="s">
        <v>504</v>
      </c>
      <c r="AH1" s="47"/>
      <c r="AI1" s="47"/>
      <c r="AJ1" s="47"/>
      <c r="AK1" s="47"/>
    </row>
    <row r="3" spans="1:38" ht="19" x14ac:dyDescent="0.25">
      <c r="A3" s="5" t="s">
        <v>451</v>
      </c>
      <c r="B3" s="5" t="s">
        <v>452</v>
      </c>
      <c r="C3" s="5" t="s">
        <v>453</v>
      </c>
      <c r="D3" s="5" t="s">
        <v>454</v>
      </c>
      <c r="E3" s="5" t="s">
        <v>455</v>
      </c>
      <c r="F3" s="5" t="s">
        <v>456</v>
      </c>
      <c r="G3" s="5" t="s">
        <v>457</v>
      </c>
      <c r="H3" s="5" t="s">
        <v>458</v>
      </c>
      <c r="I3" s="5" t="s">
        <v>459</v>
      </c>
      <c r="J3" s="5" t="s">
        <v>194</v>
      </c>
      <c r="K3" s="5" t="s">
        <v>460</v>
      </c>
      <c r="L3" s="5" t="s">
        <v>461</v>
      </c>
      <c r="O3" s="5" t="s">
        <v>173</v>
      </c>
      <c r="P3" s="5" t="s">
        <v>210</v>
      </c>
      <c r="Q3" s="5" t="s">
        <v>230</v>
      </c>
      <c r="R3" s="5" t="s">
        <v>462</v>
      </c>
      <c r="S3" s="5" t="s">
        <v>231</v>
      </c>
      <c r="T3" s="5" t="s">
        <v>214</v>
      </c>
      <c r="U3" s="5" t="s">
        <v>215</v>
      </c>
      <c r="V3" s="5" t="s">
        <v>216</v>
      </c>
      <c r="W3" s="5" t="s">
        <v>217</v>
      </c>
      <c r="AA3" s="60" t="s">
        <v>494</v>
      </c>
      <c r="AB3" s="61"/>
      <c r="AC3" s="61"/>
      <c r="AD3" s="60" t="s">
        <v>500</v>
      </c>
      <c r="AG3" s="10" t="s">
        <v>505</v>
      </c>
      <c r="AH3" s="10"/>
      <c r="AI3" s="10"/>
      <c r="AK3" s="63">
        <f>SUMIF($B$4:$B$8,"Late Aircraft Delay",$C$4:$C$8)+SUMIF($B$4:$B$8,"Carrier Delay",$C$4:$C$8)</f>
        <v>41071827</v>
      </c>
    </row>
    <row r="4" spans="1:38" x14ac:dyDescent="0.2">
      <c r="A4" s="4">
        <v>1</v>
      </c>
      <c r="B4" s="4" t="s">
        <v>203</v>
      </c>
      <c r="C4" s="4">
        <v>23654200</v>
      </c>
      <c r="D4" s="4">
        <v>40.67</v>
      </c>
      <c r="E4" s="4">
        <v>639609</v>
      </c>
      <c r="F4" s="4">
        <v>55.47</v>
      </c>
      <c r="G4" s="4">
        <v>36.979999999999997</v>
      </c>
      <c r="H4" s="4">
        <v>158</v>
      </c>
      <c r="I4" s="4">
        <v>1</v>
      </c>
      <c r="J4" s="4">
        <v>1</v>
      </c>
      <c r="K4" s="4" t="s">
        <v>415</v>
      </c>
      <c r="L4" s="4" t="s">
        <v>416</v>
      </c>
      <c r="O4" s="4" t="s">
        <v>170</v>
      </c>
      <c r="P4" s="4" t="s">
        <v>202</v>
      </c>
      <c r="Q4" s="35">
        <v>0.56530000000000002</v>
      </c>
      <c r="R4" s="4" t="s">
        <v>203</v>
      </c>
      <c r="S4" s="35">
        <v>0.21160000000000001</v>
      </c>
      <c r="T4" s="4">
        <v>27508</v>
      </c>
      <c r="U4" s="4">
        <v>50.53</v>
      </c>
      <c r="V4" s="4" t="s">
        <v>204</v>
      </c>
      <c r="W4" s="4" t="s">
        <v>205</v>
      </c>
      <c r="AG4" s="10" t="s">
        <v>506</v>
      </c>
      <c r="AH4" s="10"/>
      <c r="AI4" s="10"/>
      <c r="AK4" s="63">
        <f>SUMIF($B$4:$B$8,"Weather Delay",$C$4:$C$8)+SUMIF($B$4:$B$8,"Security Delay",$C$4:$C$8)</f>
        <v>2981730</v>
      </c>
    </row>
    <row r="5" spans="1:38" x14ac:dyDescent="0.2">
      <c r="A5" s="4">
        <v>2</v>
      </c>
      <c r="B5" s="4" t="s">
        <v>202</v>
      </c>
      <c r="C5" s="4">
        <v>17417627</v>
      </c>
      <c r="D5" s="4">
        <v>29.95</v>
      </c>
      <c r="E5" s="4">
        <v>614404</v>
      </c>
      <c r="F5" s="4">
        <v>53.29</v>
      </c>
      <c r="G5" s="4">
        <v>28.35</v>
      </c>
      <c r="H5" s="4">
        <v>158</v>
      </c>
      <c r="I5" s="4">
        <v>2</v>
      </c>
      <c r="J5" s="4">
        <v>3</v>
      </c>
      <c r="K5" s="4" t="s">
        <v>417</v>
      </c>
      <c r="L5" s="4" t="s">
        <v>418</v>
      </c>
      <c r="O5" s="4" t="s">
        <v>171</v>
      </c>
      <c r="P5" s="4" t="s">
        <v>202</v>
      </c>
      <c r="Q5" s="35">
        <v>0.56279999999999997</v>
      </c>
      <c r="R5" s="4" t="s">
        <v>203</v>
      </c>
      <c r="S5" s="35">
        <v>0.36659999999999998</v>
      </c>
      <c r="T5" s="4">
        <v>208</v>
      </c>
      <c r="U5" s="4">
        <v>33.49</v>
      </c>
      <c r="V5" s="4" t="s">
        <v>204</v>
      </c>
      <c r="W5" s="4" t="s">
        <v>205</v>
      </c>
      <c r="AA5" s="59" t="s">
        <v>495</v>
      </c>
      <c r="AB5" s="59"/>
      <c r="AC5" s="59"/>
      <c r="AD5" s="65">
        <f>(D4+D5)</f>
        <v>70.62</v>
      </c>
      <c r="AG5" s="10" t="s">
        <v>507</v>
      </c>
      <c r="AH5" s="10"/>
      <c r="AI5" s="10"/>
      <c r="AK5" s="64">
        <f>AK3/(AK3+AK4+SUMIF($B$4:$B$8,"NAS Delay",$C$4:$C$8))</f>
        <v>0.70625486130464521</v>
      </c>
    </row>
    <row r="6" spans="1:38" x14ac:dyDescent="0.2">
      <c r="A6" s="4">
        <v>3</v>
      </c>
      <c r="B6" s="4" t="s">
        <v>206</v>
      </c>
      <c r="C6" s="4">
        <v>14100842</v>
      </c>
      <c r="D6" s="4">
        <v>24.25</v>
      </c>
      <c r="E6" s="4">
        <v>607452</v>
      </c>
      <c r="F6" s="4">
        <v>52.68</v>
      </c>
      <c r="G6" s="4">
        <v>23.21</v>
      </c>
      <c r="H6" s="4">
        <v>158</v>
      </c>
      <c r="I6" s="4">
        <v>3</v>
      </c>
      <c r="J6" s="4">
        <v>4</v>
      </c>
      <c r="K6" s="4" t="s">
        <v>417</v>
      </c>
      <c r="L6" s="4" t="s">
        <v>419</v>
      </c>
      <c r="O6" s="4" t="s">
        <v>148</v>
      </c>
      <c r="P6" s="4" t="s">
        <v>202</v>
      </c>
      <c r="Q6" s="35">
        <v>0.53539999999999999</v>
      </c>
      <c r="R6" s="4" t="s">
        <v>203</v>
      </c>
      <c r="S6" s="35">
        <v>0.44450000000000001</v>
      </c>
      <c r="T6" s="4">
        <v>3241</v>
      </c>
      <c r="U6" s="4">
        <v>25.74</v>
      </c>
      <c r="V6" s="4" t="s">
        <v>204</v>
      </c>
      <c r="W6" s="4" t="s">
        <v>205</v>
      </c>
      <c r="AA6" s="59" t="s">
        <v>496</v>
      </c>
      <c r="AB6" s="59"/>
      <c r="AC6" s="59"/>
      <c r="AD6" s="63">
        <f>D7</f>
        <v>4.95</v>
      </c>
    </row>
    <row r="7" spans="1:38" x14ac:dyDescent="0.2">
      <c r="A7" s="4">
        <v>4</v>
      </c>
      <c r="B7" s="4" t="s">
        <v>420</v>
      </c>
      <c r="C7" s="4">
        <v>2877178</v>
      </c>
      <c r="D7" s="4">
        <v>4.95</v>
      </c>
      <c r="E7" s="4">
        <v>85276</v>
      </c>
      <c r="F7" s="4">
        <v>7.4</v>
      </c>
      <c r="G7" s="4">
        <v>33.74</v>
      </c>
      <c r="H7" s="4">
        <v>158</v>
      </c>
      <c r="I7" s="4">
        <v>4</v>
      </c>
      <c r="J7" s="4">
        <v>2</v>
      </c>
      <c r="K7" s="4" t="s">
        <v>421</v>
      </c>
      <c r="L7" s="4" t="s">
        <v>422</v>
      </c>
      <c r="O7" s="4" t="s">
        <v>165</v>
      </c>
      <c r="P7" s="4" t="s">
        <v>202</v>
      </c>
      <c r="Q7" s="35">
        <v>0.44040000000000001</v>
      </c>
      <c r="R7" s="4" t="s">
        <v>206</v>
      </c>
      <c r="S7" s="35">
        <v>0.23749999999999999</v>
      </c>
      <c r="T7" s="4">
        <v>33813</v>
      </c>
      <c r="U7" s="4">
        <v>35.25</v>
      </c>
      <c r="V7" s="4" t="s">
        <v>204</v>
      </c>
      <c r="W7" s="4" t="s">
        <v>207</v>
      </c>
      <c r="AA7" s="59" t="s">
        <v>497</v>
      </c>
      <c r="AB7" s="59"/>
      <c r="AC7" s="59"/>
      <c r="AD7" s="63" t="s">
        <v>503</v>
      </c>
      <c r="AG7" s="62" t="s">
        <v>508</v>
      </c>
      <c r="AH7" s="62"/>
      <c r="AI7" s="62"/>
      <c r="AJ7" s="62"/>
      <c r="AK7" s="62"/>
      <c r="AL7" s="62"/>
    </row>
    <row r="8" spans="1:38" x14ac:dyDescent="0.2">
      <c r="A8" s="4">
        <v>5</v>
      </c>
      <c r="B8" s="4" t="s">
        <v>423</v>
      </c>
      <c r="C8" s="4">
        <v>104552</v>
      </c>
      <c r="D8" s="4">
        <v>0.18</v>
      </c>
      <c r="E8" s="4">
        <v>5900</v>
      </c>
      <c r="F8" s="4">
        <v>0.51</v>
      </c>
      <c r="G8" s="4">
        <v>17.72</v>
      </c>
      <c r="H8" s="4">
        <v>142</v>
      </c>
      <c r="I8" s="4">
        <v>5</v>
      </c>
      <c r="J8" s="4">
        <v>5</v>
      </c>
      <c r="K8" s="4" t="s">
        <v>421</v>
      </c>
      <c r="L8" s="4" t="s">
        <v>419</v>
      </c>
      <c r="O8" s="4" t="s">
        <v>164</v>
      </c>
      <c r="P8" s="4" t="s">
        <v>202</v>
      </c>
      <c r="Q8" s="35">
        <v>0.40949999999999998</v>
      </c>
      <c r="R8" s="4" t="s">
        <v>206</v>
      </c>
      <c r="S8" s="35">
        <v>0.28120000000000001</v>
      </c>
      <c r="T8" s="4">
        <v>19297</v>
      </c>
      <c r="U8" s="4">
        <v>40.81</v>
      </c>
      <c r="V8" s="4" t="s">
        <v>204</v>
      </c>
      <c r="W8" s="4" t="s">
        <v>207</v>
      </c>
      <c r="AA8" s="59" t="s">
        <v>498</v>
      </c>
      <c r="AB8" s="59"/>
      <c r="AC8" s="59"/>
      <c r="AD8" s="63" t="s">
        <v>502</v>
      </c>
    </row>
    <row r="9" spans="1:38" x14ac:dyDescent="0.2">
      <c r="O9" s="4" t="s">
        <v>151</v>
      </c>
      <c r="P9" s="4" t="s">
        <v>206</v>
      </c>
      <c r="Q9" s="35">
        <v>0.40679999999999999</v>
      </c>
      <c r="R9" s="4" t="s">
        <v>202</v>
      </c>
      <c r="S9" s="35">
        <v>0.30819999999999997</v>
      </c>
      <c r="T9" s="4">
        <v>12549</v>
      </c>
      <c r="U9" s="4">
        <v>20.02</v>
      </c>
      <c r="V9" s="4" t="s">
        <v>204</v>
      </c>
      <c r="W9" s="4" t="s">
        <v>207</v>
      </c>
      <c r="AA9" s="59" t="s">
        <v>499</v>
      </c>
      <c r="AB9" s="59"/>
      <c r="AC9" s="59"/>
      <c r="AD9" s="63" t="s">
        <v>501</v>
      </c>
    </row>
    <row r="10" spans="1:38" x14ac:dyDescent="0.2">
      <c r="O10" s="4" t="s">
        <v>161</v>
      </c>
      <c r="P10" s="4" t="s">
        <v>206</v>
      </c>
      <c r="Q10" s="35">
        <v>0.40139999999999998</v>
      </c>
      <c r="R10" s="4" t="s">
        <v>203</v>
      </c>
      <c r="S10" s="35">
        <v>0.30449999999999999</v>
      </c>
      <c r="T10" s="4">
        <v>34843</v>
      </c>
      <c r="U10" s="4">
        <v>31.82</v>
      </c>
      <c r="V10" s="4" t="s">
        <v>204</v>
      </c>
      <c r="W10" s="4" t="s">
        <v>207</v>
      </c>
    </row>
    <row r="11" spans="1:38" x14ac:dyDescent="0.2">
      <c r="O11" s="4" t="s">
        <v>156</v>
      </c>
      <c r="P11" s="4" t="s">
        <v>202</v>
      </c>
      <c r="Q11" s="35">
        <v>0.39290000000000003</v>
      </c>
      <c r="R11" s="4" t="s">
        <v>203</v>
      </c>
      <c r="S11" s="35">
        <v>0.27239999999999998</v>
      </c>
      <c r="T11" s="4">
        <v>34809</v>
      </c>
      <c r="U11" s="4">
        <v>27.9</v>
      </c>
      <c r="V11" s="4" t="s">
        <v>204</v>
      </c>
      <c r="W11" s="4" t="s">
        <v>208</v>
      </c>
    </row>
    <row r="12" spans="1:38" ht="19" x14ac:dyDescent="0.25">
      <c r="A12" s="5" t="s">
        <v>452</v>
      </c>
      <c r="B12" s="5" t="s">
        <v>454</v>
      </c>
      <c r="O12" s="4" t="s">
        <v>152</v>
      </c>
      <c r="P12" s="4" t="s">
        <v>203</v>
      </c>
      <c r="Q12" s="35">
        <v>0.60780000000000001</v>
      </c>
      <c r="R12" s="4" t="s">
        <v>202</v>
      </c>
      <c r="S12" s="35">
        <v>0.2296</v>
      </c>
      <c r="T12" s="4">
        <v>155577</v>
      </c>
      <c r="U12" s="4">
        <v>33.770000000000003</v>
      </c>
      <c r="V12" s="4" t="s">
        <v>209</v>
      </c>
      <c r="W12" s="4" t="s">
        <v>205</v>
      </c>
    </row>
    <row r="13" spans="1:38" x14ac:dyDescent="0.2">
      <c r="A13" s="4" t="s">
        <v>203</v>
      </c>
      <c r="B13" s="4">
        <v>40.67</v>
      </c>
      <c r="O13" s="4" t="s">
        <v>162</v>
      </c>
      <c r="P13" s="4" t="s">
        <v>203</v>
      </c>
      <c r="Q13" s="35">
        <v>0.55559999999999998</v>
      </c>
      <c r="R13" s="4" t="s">
        <v>206</v>
      </c>
      <c r="S13" s="35">
        <v>0.27160000000000001</v>
      </c>
      <c r="T13" s="4">
        <v>26538</v>
      </c>
      <c r="U13" s="4">
        <v>45.27</v>
      </c>
      <c r="V13" s="4" t="s">
        <v>209</v>
      </c>
      <c r="W13" s="4" t="s">
        <v>205</v>
      </c>
    </row>
    <row r="14" spans="1:38" x14ac:dyDescent="0.2">
      <c r="A14" s="4" t="s">
        <v>202</v>
      </c>
      <c r="B14" s="4">
        <v>29.95</v>
      </c>
      <c r="O14" s="4" t="s">
        <v>167</v>
      </c>
      <c r="P14" s="4" t="s">
        <v>203</v>
      </c>
      <c r="Q14" s="35">
        <v>0.47289999999999999</v>
      </c>
      <c r="R14" s="4" t="s">
        <v>202</v>
      </c>
      <c r="S14" s="35">
        <v>0.26350000000000001</v>
      </c>
      <c r="T14" s="4">
        <v>53406</v>
      </c>
      <c r="U14" s="4">
        <v>41.47</v>
      </c>
      <c r="V14" s="4" t="s">
        <v>209</v>
      </c>
      <c r="W14" s="4" t="s">
        <v>207</v>
      </c>
    </row>
    <row r="15" spans="1:38" x14ac:dyDescent="0.2">
      <c r="A15" s="4" t="s">
        <v>206</v>
      </c>
      <c r="B15" s="4">
        <v>24.25</v>
      </c>
      <c r="O15" s="4" t="s">
        <v>159</v>
      </c>
      <c r="P15" s="4" t="s">
        <v>203</v>
      </c>
      <c r="Q15" s="35">
        <v>0.4496</v>
      </c>
      <c r="R15" s="4" t="s">
        <v>202</v>
      </c>
      <c r="S15" s="35">
        <v>0.25769999999999998</v>
      </c>
      <c r="T15" s="4">
        <v>61943</v>
      </c>
      <c r="U15" s="4">
        <v>34.21</v>
      </c>
      <c r="V15" s="4" t="s">
        <v>209</v>
      </c>
      <c r="W15" s="4" t="s">
        <v>207</v>
      </c>
    </row>
    <row r="16" spans="1:38" x14ac:dyDescent="0.2">
      <c r="A16" s="4" t="s">
        <v>420</v>
      </c>
      <c r="B16" s="4">
        <v>4.95</v>
      </c>
      <c r="O16" s="4" t="s">
        <v>169</v>
      </c>
      <c r="P16" s="4" t="s">
        <v>203</v>
      </c>
      <c r="Q16" s="35">
        <v>0.44180000000000003</v>
      </c>
      <c r="R16" s="4" t="s">
        <v>206</v>
      </c>
      <c r="S16" s="35">
        <v>0.33329999999999999</v>
      </c>
      <c r="T16" s="4">
        <v>22249</v>
      </c>
      <c r="U16" s="4">
        <v>37.590000000000003</v>
      </c>
      <c r="V16" s="4" t="s">
        <v>209</v>
      </c>
      <c r="W16" s="4" t="s">
        <v>207</v>
      </c>
    </row>
    <row r="17" spans="1:23" x14ac:dyDescent="0.2">
      <c r="A17" s="4" t="s">
        <v>423</v>
      </c>
      <c r="B17" s="4">
        <v>0.18</v>
      </c>
      <c r="O17" s="4" t="s">
        <v>154</v>
      </c>
      <c r="P17" s="4" t="s">
        <v>203</v>
      </c>
      <c r="Q17" s="35">
        <v>0.433</v>
      </c>
      <c r="R17" s="4" t="s">
        <v>202</v>
      </c>
      <c r="S17" s="35">
        <v>0.33489999999999998</v>
      </c>
      <c r="T17" s="4">
        <v>11684</v>
      </c>
      <c r="U17" s="4">
        <v>38.81</v>
      </c>
      <c r="V17" s="4" t="s">
        <v>209</v>
      </c>
      <c r="W17" s="4" t="s">
        <v>207</v>
      </c>
    </row>
    <row r="18" spans="1:23" x14ac:dyDescent="0.2">
      <c r="O18" s="4" t="s">
        <v>166</v>
      </c>
      <c r="P18" s="4" t="s">
        <v>203</v>
      </c>
      <c r="Q18" s="35">
        <v>0.41639999999999999</v>
      </c>
      <c r="R18" s="4" t="s">
        <v>206</v>
      </c>
      <c r="S18" s="35">
        <v>0.29730000000000001</v>
      </c>
      <c r="T18" s="4">
        <v>34189</v>
      </c>
      <c r="U18" s="4">
        <v>42.13</v>
      </c>
      <c r="V18" s="4" t="s">
        <v>209</v>
      </c>
      <c r="W18" s="4" t="s">
        <v>207</v>
      </c>
    </row>
    <row r="19" spans="1:23" x14ac:dyDescent="0.2">
      <c r="O19" s="4" t="s">
        <v>168</v>
      </c>
      <c r="P19" s="4" t="s">
        <v>203</v>
      </c>
      <c r="Q19" s="35">
        <v>0.41310000000000002</v>
      </c>
      <c r="R19" s="4" t="s">
        <v>202</v>
      </c>
      <c r="S19" s="35">
        <v>0.3044</v>
      </c>
      <c r="T19" s="4">
        <v>39520</v>
      </c>
      <c r="U19" s="4">
        <v>45.79</v>
      </c>
      <c r="V19" s="4" t="s">
        <v>209</v>
      </c>
      <c r="W19" s="4" t="s">
        <v>207</v>
      </c>
    </row>
    <row r="20" spans="1:23" x14ac:dyDescent="0.2">
      <c r="O20" s="4" t="s">
        <v>163</v>
      </c>
      <c r="P20" s="4" t="s">
        <v>203</v>
      </c>
      <c r="Q20" s="35">
        <v>0.39639999999999997</v>
      </c>
      <c r="R20" s="4" t="s">
        <v>202</v>
      </c>
      <c r="S20" s="35">
        <v>0.36930000000000002</v>
      </c>
      <c r="T20" s="4">
        <v>14319</v>
      </c>
      <c r="U20" s="4">
        <v>47.61</v>
      </c>
      <c r="V20" s="4" t="s">
        <v>209</v>
      </c>
      <c r="W20" s="4" t="s">
        <v>208</v>
      </c>
    </row>
    <row r="21" spans="1:23" x14ac:dyDescent="0.2">
      <c r="O21" s="4" t="s">
        <v>157</v>
      </c>
      <c r="P21" s="4" t="s">
        <v>203</v>
      </c>
      <c r="Q21" s="35">
        <v>0.39439999999999997</v>
      </c>
      <c r="R21" s="4" t="s">
        <v>202</v>
      </c>
      <c r="S21" s="35">
        <v>0.30430000000000001</v>
      </c>
      <c r="T21" s="4">
        <v>30091</v>
      </c>
      <c r="U21" s="4">
        <v>35.14</v>
      </c>
      <c r="V21" s="4" t="s">
        <v>209</v>
      </c>
      <c r="W21" s="4" t="s">
        <v>208</v>
      </c>
    </row>
    <row r="22" spans="1:23" x14ac:dyDescent="0.2">
      <c r="O22" s="4" t="s">
        <v>160</v>
      </c>
      <c r="P22" s="4" t="s">
        <v>203</v>
      </c>
      <c r="Q22" s="35">
        <v>0.3871</v>
      </c>
      <c r="R22" s="4" t="s">
        <v>202</v>
      </c>
      <c r="S22" s="35">
        <v>0.30599999999999999</v>
      </c>
      <c r="T22" s="4">
        <v>72105</v>
      </c>
      <c r="U22" s="4">
        <v>34.56</v>
      </c>
      <c r="V22" s="4" t="s">
        <v>209</v>
      </c>
      <c r="W22" s="4" t="s">
        <v>208</v>
      </c>
    </row>
    <row r="23" spans="1:23" x14ac:dyDescent="0.2">
      <c r="O23" s="4" t="s">
        <v>158</v>
      </c>
      <c r="P23" s="4" t="s">
        <v>203</v>
      </c>
      <c r="Q23" s="35">
        <v>0.3679</v>
      </c>
      <c r="R23" s="4" t="s">
        <v>202</v>
      </c>
      <c r="S23" s="35">
        <v>0.30309999999999998</v>
      </c>
      <c r="T23" s="4">
        <v>38506</v>
      </c>
      <c r="U23" s="4">
        <v>30.82</v>
      </c>
      <c r="V23" s="4" t="s">
        <v>209</v>
      </c>
      <c r="W23" s="4" t="s">
        <v>208</v>
      </c>
    </row>
    <row r="25" spans="1:23" x14ac:dyDescent="0.2">
      <c r="R25" s="4"/>
    </row>
    <row r="27" spans="1:23" ht="19" x14ac:dyDescent="0.25">
      <c r="O27" s="5" t="s">
        <v>173</v>
      </c>
      <c r="P27" s="5" t="s">
        <v>230</v>
      </c>
      <c r="Q27" s="5" t="s">
        <v>231</v>
      </c>
      <c r="R27" s="58" t="s">
        <v>492</v>
      </c>
      <c r="S27" s="58" t="s">
        <v>210</v>
      </c>
    </row>
    <row r="28" spans="1:23" x14ac:dyDescent="0.2">
      <c r="O28" s="4" t="str">
        <f>O4</f>
        <v>YV</v>
      </c>
      <c r="P28" s="35">
        <f>Q4</f>
        <v>0.56530000000000002</v>
      </c>
      <c r="Q28" s="35">
        <f>S4</f>
        <v>0.21160000000000001</v>
      </c>
      <c r="R28" s="35">
        <f>1-Q4-S4</f>
        <v>0.22309999999999997</v>
      </c>
      <c r="S28" s="4" t="str">
        <f>P4</f>
        <v>Carrier Delay</v>
      </c>
    </row>
    <row r="29" spans="1:23" x14ac:dyDescent="0.2">
      <c r="O29" s="4" t="str">
        <f t="shared" ref="O29:O50" si="0">O5</f>
        <v>AQ</v>
      </c>
      <c r="P29" s="35">
        <f t="shared" ref="P29:P47" si="1">Q5</f>
        <v>0.56279999999999997</v>
      </c>
      <c r="Q29" s="35">
        <f t="shared" ref="Q29:Q47" si="2">S5</f>
        <v>0.36659999999999998</v>
      </c>
      <c r="R29" s="35">
        <f t="shared" ref="R29:R47" si="3">1-Q5-S5</f>
        <v>7.0600000000000052E-2</v>
      </c>
      <c r="S29" s="4" t="str">
        <f t="shared" ref="S29:S47" si="4">P5</f>
        <v>Carrier Delay</v>
      </c>
    </row>
    <row r="30" spans="1:23" x14ac:dyDescent="0.2">
      <c r="O30" s="4" t="str">
        <f t="shared" si="0"/>
        <v>HA</v>
      </c>
      <c r="P30" s="35">
        <f t="shared" si="1"/>
        <v>0.53539999999999999</v>
      </c>
      <c r="Q30" s="35">
        <f t="shared" si="2"/>
        <v>0.44450000000000001</v>
      </c>
      <c r="R30" s="35">
        <f t="shared" si="3"/>
        <v>2.0100000000000007E-2</v>
      </c>
      <c r="S30" s="4" t="str">
        <f t="shared" si="4"/>
        <v>Carrier Delay</v>
      </c>
    </row>
    <row r="31" spans="1:23" x14ac:dyDescent="0.2">
      <c r="O31" s="4" t="str">
        <f t="shared" si="0"/>
        <v>EV</v>
      </c>
      <c r="P31" s="35">
        <f t="shared" si="1"/>
        <v>0.44040000000000001</v>
      </c>
      <c r="Q31" s="35">
        <f t="shared" si="2"/>
        <v>0.23749999999999999</v>
      </c>
      <c r="R31" s="35">
        <f t="shared" si="3"/>
        <v>0.3221</v>
      </c>
      <c r="S31" s="4" t="str">
        <f t="shared" si="4"/>
        <v>Carrier Delay</v>
      </c>
    </row>
    <row r="32" spans="1:23" x14ac:dyDescent="0.2">
      <c r="O32" s="4" t="str">
        <f t="shared" si="0"/>
        <v>OH</v>
      </c>
      <c r="P32" s="35">
        <f t="shared" si="1"/>
        <v>0.40949999999999998</v>
      </c>
      <c r="Q32" s="35">
        <f t="shared" si="2"/>
        <v>0.28120000000000001</v>
      </c>
      <c r="R32" s="35">
        <f t="shared" si="3"/>
        <v>0.30930000000000002</v>
      </c>
      <c r="S32" s="4" t="str">
        <f t="shared" si="4"/>
        <v>Carrier Delay</v>
      </c>
    </row>
    <row r="33" spans="15:19" x14ac:dyDescent="0.2">
      <c r="O33" s="4" t="str">
        <f t="shared" si="0"/>
        <v>F9</v>
      </c>
      <c r="P33" s="35">
        <f t="shared" si="1"/>
        <v>0.40679999999999999</v>
      </c>
      <c r="Q33" s="35">
        <f t="shared" si="2"/>
        <v>0.30819999999999997</v>
      </c>
      <c r="R33" s="35">
        <f t="shared" si="3"/>
        <v>0.28499999999999998</v>
      </c>
      <c r="S33" s="4" t="str">
        <f t="shared" si="4"/>
        <v>NAS Delay</v>
      </c>
    </row>
    <row r="34" spans="15:19" x14ac:dyDescent="0.2">
      <c r="O34" s="4" t="str">
        <f t="shared" si="0"/>
        <v>CO</v>
      </c>
      <c r="P34" s="35">
        <f t="shared" si="1"/>
        <v>0.40139999999999998</v>
      </c>
      <c r="Q34" s="35">
        <f t="shared" si="2"/>
        <v>0.30449999999999999</v>
      </c>
      <c r="R34" s="35">
        <f t="shared" si="3"/>
        <v>0.29410000000000003</v>
      </c>
      <c r="S34" s="4" t="str">
        <f t="shared" si="4"/>
        <v>NAS Delay</v>
      </c>
    </row>
    <row r="35" spans="15:19" x14ac:dyDescent="0.2">
      <c r="O35" s="4" t="str">
        <f t="shared" si="0"/>
        <v>NW</v>
      </c>
      <c r="P35" s="35">
        <f t="shared" si="1"/>
        <v>0.39290000000000003</v>
      </c>
      <c r="Q35" s="35">
        <f t="shared" si="2"/>
        <v>0.27239999999999998</v>
      </c>
      <c r="R35" s="35">
        <f t="shared" si="3"/>
        <v>0.3347</v>
      </c>
      <c r="S35" s="4" t="str">
        <f t="shared" si="4"/>
        <v>Carrier Delay</v>
      </c>
    </row>
    <row r="36" spans="15:19" x14ac:dyDescent="0.2">
      <c r="O36" s="4" t="str">
        <f t="shared" si="0"/>
        <v>WN</v>
      </c>
      <c r="P36" s="35">
        <f t="shared" si="1"/>
        <v>0.60780000000000001</v>
      </c>
      <c r="Q36" s="35">
        <f t="shared" si="2"/>
        <v>0.2296</v>
      </c>
      <c r="R36" s="35">
        <f t="shared" si="3"/>
        <v>0.16259999999999999</v>
      </c>
      <c r="S36" s="4" t="str">
        <f t="shared" si="4"/>
        <v>Late Aircraft Delay</v>
      </c>
    </row>
    <row r="37" spans="15:19" x14ac:dyDescent="0.2">
      <c r="O37" s="4" t="str">
        <f t="shared" si="0"/>
        <v>FL</v>
      </c>
      <c r="P37" s="35">
        <f t="shared" si="1"/>
        <v>0.55559999999999998</v>
      </c>
      <c r="Q37" s="35">
        <f t="shared" si="2"/>
        <v>0.27160000000000001</v>
      </c>
      <c r="R37" s="35">
        <f t="shared" si="3"/>
        <v>0.17280000000000001</v>
      </c>
      <c r="S37" s="4" t="str">
        <f t="shared" si="4"/>
        <v>Late Aircraft Delay</v>
      </c>
    </row>
    <row r="38" spans="15:19" x14ac:dyDescent="0.2">
      <c r="O38" s="4" t="str">
        <f t="shared" si="0"/>
        <v>UA</v>
      </c>
      <c r="P38" s="35">
        <f t="shared" si="1"/>
        <v>0.47289999999999999</v>
      </c>
      <c r="Q38" s="35">
        <f t="shared" si="2"/>
        <v>0.26350000000000001</v>
      </c>
      <c r="R38" s="35">
        <f t="shared" si="3"/>
        <v>0.2636</v>
      </c>
      <c r="S38" s="4" t="str">
        <f t="shared" si="4"/>
        <v>Late Aircraft Delay</v>
      </c>
    </row>
    <row r="39" spans="15:19" x14ac:dyDescent="0.2">
      <c r="O39" s="4" t="str">
        <f t="shared" si="0"/>
        <v>MQ</v>
      </c>
      <c r="P39" s="35">
        <f t="shared" si="1"/>
        <v>0.4496</v>
      </c>
      <c r="Q39" s="35">
        <f t="shared" si="2"/>
        <v>0.25769999999999998</v>
      </c>
      <c r="R39" s="35">
        <f t="shared" si="3"/>
        <v>0.29270000000000002</v>
      </c>
      <c r="S39" s="4" t="str">
        <f t="shared" si="4"/>
        <v>Late Aircraft Delay</v>
      </c>
    </row>
    <row r="40" spans="15:19" x14ac:dyDescent="0.2">
      <c r="O40" s="4" t="str">
        <f t="shared" si="0"/>
        <v>B6</v>
      </c>
      <c r="P40" s="35">
        <f t="shared" si="1"/>
        <v>0.44180000000000003</v>
      </c>
      <c r="Q40" s="35">
        <f t="shared" si="2"/>
        <v>0.33329999999999999</v>
      </c>
      <c r="R40" s="35">
        <f t="shared" si="3"/>
        <v>0.22490000000000004</v>
      </c>
      <c r="S40" s="4" t="str">
        <f t="shared" si="4"/>
        <v>Late Aircraft Delay</v>
      </c>
    </row>
    <row r="41" spans="15:19" x14ac:dyDescent="0.2">
      <c r="O41" s="4" t="str">
        <f t="shared" si="0"/>
        <v>AS</v>
      </c>
      <c r="P41" s="35">
        <f t="shared" si="1"/>
        <v>0.433</v>
      </c>
      <c r="Q41" s="35">
        <f t="shared" si="2"/>
        <v>0.33489999999999998</v>
      </c>
      <c r="R41" s="35">
        <f t="shared" si="3"/>
        <v>0.23209999999999997</v>
      </c>
      <c r="S41" s="4" t="str">
        <f t="shared" si="4"/>
        <v>Late Aircraft Delay</v>
      </c>
    </row>
    <row r="42" spans="15:19" x14ac:dyDescent="0.2">
      <c r="O42" s="4" t="str">
        <f t="shared" si="0"/>
        <v>XE</v>
      </c>
      <c r="P42" s="35">
        <f t="shared" si="1"/>
        <v>0.41639999999999999</v>
      </c>
      <c r="Q42" s="35">
        <f t="shared" si="2"/>
        <v>0.29730000000000001</v>
      </c>
      <c r="R42" s="35">
        <f t="shared" si="3"/>
        <v>0.2863</v>
      </c>
      <c r="S42" s="4" t="str">
        <f t="shared" si="4"/>
        <v>Late Aircraft Delay</v>
      </c>
    </row>
    <row r="43" spans="15:19" x14ac:dyDescent="0.2">
      <c r="O43" s="4" t="str">
        <f t="shared" si="0"/>
        <v>OO</v>
      </c>
      <c r="P43" s="35">
        <f t="shared" si="1"/>
        <v>0.41310000000000002</v>
      </c>
      <c r="Q43" s="35">
        <f t="shared" si="2"/>
        <v>0.3044</v>
      </c>
      <c r="R43" s="35">
        <f t="shared" si="3"/>
        <v>0.28249999999999997</v>
      </c>
      <c r="S43" s="4" t="str">
        <f t="shared" si="4"/>
        <v>Late Aircraft Delay</v>
      </c>
    </row>
    <row r="44" spans="15:19" x14ac:dyDescent="0.2">
      <c r="O44" s="4" t="str">
        <f t="shared" si="0"/>
        <v>9E</v>
      </c>
      <c r="P44" s="35">
        <f t="shared" si="1"/>
        <v>0.39639999999999997</v>
      </c>
      <c r="Q44" s="35">
        <f t="shared" si="2"/>
        <v>0.36930000000000002</v>
      </c>
      <c r="R44" s="35">
        <f t="shared" si="3"/>
        <v>0.23430000000000001</v>
      </c>
      <c r="S44" s="4" t="str">
        <f t="shared" si="4"/>
        <v>Late Aircraft Delay</v>
      </c>
    </row>
    <row r="45" spans="15:19" x14ac:dyDescent="0.2">
      <c r="O45" s="4" t="str">
        <f t="shared" si="0"/>
        <v>US</v>
      </c>
      <c r="P45" s="35">
        <f t="shared" si="1"/>
        <v>0.39439999999999997</v>
      </c>
      <c r="Q45" s="35">
        <f t="shared" si="2"/>
        <v>0.30430000000000001</v>
      </c>
      <c r="R45" s="35">
        <f t="shared" si="3"/>
        <v>0.30130000000000001</v>
      </c>
      <c r="S45" s="4" t="str">
        <f t="shared" si="4"/>
        <v>Late Aircraft Delay</v>
      </c>
    </row>
    <row r="46" spans="15:19" x14ac:dyDescent="0.2">
      <c r="O46" s="4" t="str">
        <f t="shared" si="0"/>
        <v>AA</v>
      </c>
      <c r="P46" s="35">
        <f t="shared" si="1"/>
        <v>0.3871</v>
      </c>
      <c r="Q46" s="35">
        <f t="shared" si="2"/>
        <v>0.30599999999999999</v>
      </c>
      <c r="R46" s="35">
        <f t="shared" si="3"/>
        <v>0.30690000000000001</v>
      </c>
      <c r="S46" s="4" t="str">
        <f t="shared" si="4"/>
        <v>Late Aircraft Delay</v>
      </c>
    </row>
    <row r="47" spans="15:19" x14ac:dyDescent="0.2">
      <c r="O47" s="4" t="str">
        <f t="shared" si="0"/>
        <v>DL</v>
      </c>
      <c r="P47" s="35">
        <f t="shared" si="1"/>
        <v>0.3679</v>
      </c>
      <c r="Q47" s="35">
        <f t="shared" si="2"/>
        <v>0.30309999999999998</v>
      </c>
      <c r="R47" s="35">
        <f t="shared" si="3"/>
        <v>0.32900000000000001</v>
      </c>
      <c r="S47" s="4" t="str">
        <f t="shared" si="4"/>
        <v>Late Aircraft Delay</v>
      </c>
    </row>
  </sheetData>
  <mergeCells count="8">
    <mergeCell ref="AA1:AD1"/>
    <mergeCell ref="AG1:AK1"/>
    <mergeCell ref="AG3:AI3"/>
    <mergeCell ref="AG4:AI4"/>
    <mergeCell ref="AG5:AI5"/>
    <mergeCell ref="AG7:AL7"/>
    <mergeCell ref="A1:I1"/>
    <mergeCell ref="O1:W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HeadingPairs>
  <TitlesOfParts>
    <vt:vector size="19" baseType="lpstr">
      <vt:lpstr>KPI_Summary</vt:lpstr>
      <vt:lpstr>Route_Analysis</vt:lpstr>
      <vt:lpstr>Airline_Performance_Analysis</vt:lpstr>
      <vt:lpstr>Airport_Analysis</vt:lpstr>
      <vt:lpstr>Time_Patterns_Analysis</vt:lpstr>
      <vt:lpstr>Delay_Causes_Analysis</vt:lpstr>
      <vt:lpstr>Route_Analysis!q1_consistent_routes</vt:lpstr>
      <vt:lpstr>Time_Patterns_Analysis!q10_monthly_rolling_trend</vt:lpstr>
      <vt:lpstr>Delay_Causes_Analysis!q11_delay_cause_totals</vt:lpstr>
      <vt:lpstr>Airline_Performance_Analysis!q12_airline_dominant_cause</vt:lpstr>
      <vt:lpstr>Delay_Causes_Analysis!q12_airline_dominant_cause</vt:lpstr>
      <vt:lpstr>Route_Analysis!q2_route_symmetry</vt:lpstr>
      <vt:lpstr>Route_Analysis!q3_route_recovery</vt:lpstr>
      <vt:lpstr>Airline_Performance_Analysis!q4_airline_consistency_1</vt:lpstr>
      <vt:lpstr>Airline_Performance_Analysis!q5_airline_mom_trend</vt:lpstr>
      <vt:lpstr>Airline_Performance_Analysis!q6_airline_severity</vt:lpstr>
      <vt:lpstr>Airport_Analysis!q7_airport_volume_vs_delay</vt:lpstr>
      <vt:lpstr>Airport_Analysis!q8_airport_dep_arr_profile</vt:lpstr>
      <vt:lpstr>Time_Patterns_Analysis!q9_departure_hour_risk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kumar</dc:creator>
  <cp:lastModifiedBy>pratham kumar</cp:lastModifiedBy>
  <dcterms:created xsi:type="dcterms:W3CDTF">2026-06-21T16:14:10Z</dcterms:created>
  <dcterms:modified xsi:type="dcterms:W3CDTF">2026-06-24T16:03:42Z</dcterms:modified>
</cp:coreProperties>
</file>